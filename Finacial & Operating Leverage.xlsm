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C:\Users\max\OneDrive\Desktop\3. Semester\Unternehmens- und Bankenanalyse\Unternehmensanalyse\"/>
    </mc:Choice>
  </mc:AlternateContent>
  <xr:revisionPtr revIDLastSave="0" documentId="13_ncr:1_{999C4166-8332-4C6A-B9F3-D2249B9B39DB}" xr6:coauthVersionLast="47" xr6:coauthVersionMax="47" xr10:uidLastSave="{00000000-0000-0000-0000-000000000000}"/>
  <bookViews>
    <workbookView xWindow="-108" yWindow="-108" windowWidth="23256" windowHeight="12456" xr2:uid="{7196D463-6E94-42F7-B6D7-B53380ADF4F4}"/>
  </bookViews>
  <sheets>
    <sheet name="Cover" sheetId="9" r:id="rId1"/>
    <sheet name="FL_Viz" sheetId="7" r:id="rId2"/>
    <sheet name="OL_Viz" sheetId="6"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7" l="1"/>
  <c r="M22" i="7"/>
  <c r="O9" i="7"/>
  <c r="G14" i="7" s="1"/>
  <c r="G10" i="7"/>
  <c r="P16" i="7"/>
  <c r="Q23" i="7" s="1"/>
  <c r="Q9" i="7"/>
  <c r="O13" i="7" s="1"/>
  <c r="P9" i="7"/>
  <c r="G18" i="7" s="1"/>
  <c r="M9" i="6"/>
  <c r="G6" i="6" s="1"/>
  <c r="M16" i="6"/>
  <c r="N16" i="6" s="1"/>
  <c r="N9" i="6"/>
  <c r="G10" i="6" s="1"/>
  <c r="O9" i="6"/>
  <c r="N13" i="6" s="1"/>
  <c r="O13" i="6" s="1"/>
  <c r="G14" i="6" l="1"/>
  <c r="G30" i="6"/>
  <c r="G33" i="7"/>
  <c r="G37" i="7"/>
  <c r="G31" i="7"/>
  <c r="G36" i="7"/>
  <c r="G35" i="7"/>
  <c r="G39" i="7"/>
  <c r="G22" i="7"/>
  <c r="M13" i="7"/>
  <c r="N13" i="7"/>
  <c r="P13" i="7" s="1"/>
  <c r="O16" i="7" s="1"/>
  <c r="G38" i="7" s="1"/>
  <c r="N17" i="6"/>
  <c r="M17" i="6"/>
  <c r="M15" i="6"/>
  <c r="N15" i="6"/>
  <c r="O15" i="6"/>
  <c r="P23" i="7" l="1"/>
  <c r="P24" i="7" s="1"/>
  <c r="N16" i="7"/>
  <c r="M16" i="7"/>
  <c r="O16" i="6"/>
  <c r="P16" i="6" s="1"/>
  <c r="Q16" i="6" s="1"/>
  <c r="O17" i="6"/>
  <c r="P13" i="6"/>
  <c r="P15" i="6" s="1"/>
  <c r="M18" i="6"/>
  <c r="M19" i="6" s="1"/>
  <c r="G40" i="7" l="1"/>
  <c r="G32" i="7"/>
  <c r="G30" i="7"/>
  <c r="O23" i="7"/>
  <c r="O24" i="7" s="1"/>
  <c r="M19" i="7"/>
  <c r="M23" i="7" s="1"/>
  <c r="M24" i="7" s="1"/>
  <c r="N23" i="7"/>
  <c r="N24" i="7" s="1"/>
  <c r="O18" i="6"/>
  <c r="O19" i="6" s="1"/>
  <c r="O21" i="6" s="1"/>
  <c r="N18" i="6"/>
  <c r="N19" i="6" s="1"/>
  <c r="N21" i="6" s="1"/>
  <c r="P17" i="6"/>
  <c r="P18" i="6" s="1"/>
  <c r="P19" i="6" s="1"/>
  <c r="P21" i="6" s="1"/>
  <c r="Q13" i="6"/>
  <c r="Q15" i="6" s="1"/>
  <c r="R16" i="6"/>
  <c r="G41" i="7" l="1"/>
  <c r="Q17" i="6"/>
  <c r="Q18" i="6" s="1"/>
  <c r="Q19" i="6" s="1"/>
  <c r="Q21" i="6" s="1"/>
  <c r="R13" i="6"/>
  <c r="R15" i="6" s="1"/>
  <c r="S16" i="6"/>
  <c r="S13" i="6" l="1"/>
  <c r="S15" i="6" s="1"/>
  <c r="R17" i="6"/>
  <c r="R18" i="6" s="1"/>
  <c r="R19" i="6" s="1"/>
  <c r="R21" i="6" s="1"/>
  <c r="T16" i="6"/>
  <c r="T13" i="6" l="1"/>
  <c r="S17" i="6"/>
  <c r="S18" i="6" s="1"/>
  <c r="S19" i="6" s="1"/>
  <c r="S21" i="6" s="1"/>
  <c r="U16" i="6"/>
  <c r="U13" i="6" l="1"/>
  <c r="U15" i="6" s="1"/>
  <c r="T15" i="6"/>
  <c r="T17" i="6"/>
  <c r="T18" i="6" s="1"/>
  <c r="V16" i="6"/>
  <c r="W16" i="6" s="1"/>
  <c r="U17" i="6" l="1"/>
  <c r="U18" i="6" s="1"/>
  <c r="U19" i="6" s="1"/>
  <c r="U21" i="6" s="1"/>
  <c r="V13" i="6"/>
  <c r="V15" i="6" s="1"/>
  <c r="T19" i="6"/>
  <c r="T21" i="6" s="1"/>
  <c r="V17" i="6" l="1"/>
  <c r="V18" i="6" s="1"/>
  <c r="V19" i="6" s="1"/>
  <c r="V21" i="6" s="1"/>
  <c r="W13" i="6"/>
  <c r="W15" i="6" s="1"/>
  <c r="W17" i="6" l="1"/>
  <c r="W18" i="6" s="1"/>
  <c r="W19" i="6" s="1"/>
  <c r="W21" i="6" s="1"/>
  <c r="M21" i="6" s="1"/>
  <c r="C27" i="6" s="1"/>
  <c r="G31" i="6" l="1"/>
</calcChain>
</file>

<file path=xl/sharedStrings.xml><?xml version="1.0" encoding="utf-8"?>
<sst xmlns="http://schemas.openxmlformats.org/spreadsheetml/2006/main" count="73" uniqueCount="59">
  <si>
    <t>FK/EK</t>
  </si>
  <si>
    <t>Steuersatz</t>
  </si>
  <si>
    <t>Zinsaufwand</t>
  </si>
  <si>
    <t>EK</t>
  </si>
  <si>
    <t>FK</t>
  </si>
  <si>
    <t>Preis</t>
  </si>
  <si>
    <t>Marge</t>
  </si>
  <si>
    <t>Berechnungen</t>
  </si>
  <si>
    <t>Input</t>
  </si>
  <si>
    <t>Berechnungsinput</t>
  </si>
  <si>
    <t>(1-Steuersatz)</t>
  </si>
  <si>
    <t>Input für RoE</t>
  </si>
  <si>
    <t>Output</t>
  </si>
  <si>
    <t xml:space="preserve">Menge </t>
  </si>
  <si>
    <t xml:space="preserve">Umsatz </t>
  </si>
  <si>
    <t xml:space="preserve">Gewinn </t>
  </si>
  <si>
    <t>Periode</t>
  </si>
  <si>
    <t>JA vor Zinsen &amp; Steuern</t>
  </si>
  <si>
    <t>Zinssatz</t>
  </si>
  <si>
    <t>Legende</t>
  </si>
  <si>
    <t>Default:</t>
  </si>
  <si>
    <t>Anzahl Verlustperioden</t>
  </si>
  <si>
    <t>Beschreibung</t>
  </si>
  <si>
    <t>Erklärung</t>
  </si>
  <si>
    <t>Maximilian Remy</t>
  </si>
  <si>
    <t>Der Operating Leverage beschreibt die Sensitivität der Gewinne auf die Volatilität der Umsätze. Die Gewinne reagieren besonders sensibel auf Umsatzschwankungen, wenn die Fixkosten einen großen Anteil an den Gesamtkosten ausmachen. Hingegen erlaubt ein hoher variabler Kostenanteil, dass die Gewinne mit den Umsätzen mitatmen. Unabhängig vom Fixkostenanteil, schützt eine hohe Marge vor negativen Auswirkungen eines hohen operativen Leverages.</t>
  </si>
  <si>
    <t>Der Financial Leverage beschreibt das Hebeln der Eigenkapitalrendite durch Fremdkapitalaufnahme. Solange die Grenzkosten des FKs geringer sind als der durch das Fremdkapital erwirtschaftete Grenzewinn, lohnt sich die Fremdkapitalaufnahme. Da sich mit steigendem Fremdkapitalanteil auch die Fremdkapitalkosten erhöhen, entsteht ein Optimum. Ein hoher Hebel erwirtschaftet eine hohe Eigenkapitalrendite, erhöht aber auch das Risiko des Unternehmens, bei einem sich verschlechternden wirtschaftlichen Umfeld in Zahlungsschwierigkeiten zu kommen.</t>
  </si>
  <si>
    <t>Grundsätzlich lässt sich sagen, dass die Höhe des Operating Leverage bestimmt, wie geneigt die Fremdkapitalgeber sind, dem Unternehmen Kapital bereitzustellen. Da Fremdkapitalgeber risikoscheu sind, finanzieren sie lieber Unternehmen, welche ein geringes Operating Leverage haben, damit das Gesamtrisiko nicht zu groß wird. Financial und Operating Leverage müssen immer zusammen betrachtet werden. Beispielsweise sorgt der geringe operative Leverage von Immobilien dazu, dass Immobilienprojekte einen starken Financial Leverage haben.</t>
  </si>
  <si>
    <t>EK-Rendite anteilig = Der anteilig auf das Eigenkapital entfallende Jahresüberschuss nach Steuern und vor Zinsen, im Verhältnis zum Eigenkapital.</t>
  </si>
  <si>
    <t>FK-Rendite anteilig = Der anteilig auf das Fremdkapital entfallende Jahresüberschuss nach Steuern und vor Zinsen, im Verhältnis zum Fremdkapital.</t>
  </si>
  <si>
    <t>After-Tax Cost of FK = Die Zinskosten des FK unter Berücksichtigung des Steuerspareffekts der Zinskosten.</t>
  </si>
  <si>
    <t>FK/EK = Der Hebel bzw. der Leverage. Die Höhe des Fremdkapitals als Multiplikator in Eigenkapitaleinheiten.</t>
  </si>
  <si>
    <t>EK-Rendite = Der gesamte Jahresüberschuss nach Steuern und Zinsen im Verhältnis zum Eigenkapital.</t>
  </si>
  <si>
    <t>EK-Rendite</t>
  </si>
  <si>
    <t>EK-Rendite anteilig</t>
  </si>
  <si>
    <t>FK-Rendite anteilig</t>
  </si>
  <si>
    <t>After-Tax Cost of FK</t>
  </si>
  <si>
    <t>FK/EK (Hebel)</t>
  </si>
  <si>
    <t>GK-Rendite</t>
  </si>
  <si>
    <t>Pre-Tax Cost of FK</t>
  </si>
  <si>
    <t>RoEK anteilig</t>
  </si>
  <si>
    <t>RoFK anteilig</t>
  </si>
  <si>
    <t>Berechnungslogik</t>
  </si>
  <si>
    <t>Ich habe die Originalformel "RoE = RoA + (RoA - ATCoD) * EK/FK" umgeformt, um den Leverage-Effekt besser zu erklären. Die grundlegende Vorgehensweise bleibt weiterhin dieselbe.</t>
  </si>
  <si>
    <t>Diagrammwerte in %</t>
  </si>
  <si>
    <t>Diagrammwerte in Mio. Euro</t>
  </si>
  <si>
    <t>Inputwerte</t>
  </si>
  <si>
    <t>Sliderinput</t>
  </si>
  <si>
    <t>Fixe Kosten = Kosten, die produktionsunabhängig sind und nicht mit der Produktionsmenge zu- und abnehmen.</t>
  </si>
  <si>
    <t>Variable Kosten = Der anteilige des Jahresüberschusses nach Steuern und Zinsen, der auf das Fremdkapital entfällt, im Verhältnis zum Fremdkapital.</t>
  </si>
  <si>
    <t>Gewinn = Umsatz minus die Summe aus fixen und variablen Kosten</t>
  </si>
  <si>
    <t>Umsatz = Produkt aus Menge und Preis.</t>
  </si>
  <si>
    <t>Fixe Kosten</t>
  </si>
  <si>
    <t>Umsatzvolatilität</t>
  </si>
  <si>
    <t xml:space="preserve">Fixe Kosten </t>
  </si>
  <si>
    <t xml:space="preserve">Variable Kosten  </t>
  </si>
  <si>
    <t>Gesamtkosten</t>
  </si>
  <si>
    <t>ür die Periode 0 gelten die Inputwerte. Abhängig vom Umsatz werden alle Outputwerte für die nächsten 10 Perioden simuliert.</t>
  </si>
  <si>
    <t>Außerdem sind im Bezug auf das FK zwei weitere Effekte zu berücksichtigen: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</si>
</sst>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5" x14ac:knownFonts="1">
    <font>
      <sz val="11"/>
      <color theme="1"/>
      <name val="Calibri"/>
      <family val="2"/>
      <scheme val="minor"/>
    </font>
    <font>
      <sz val="11"/>
      <color theme="1"/>
      <name val="Calibri"/>
      <family val="2"/>
      <scheme val="minor"/>
    </font>
    <font>
      <b/>
      <sz val="11"/>
      <color theme="2" tint="-0.749992370372631"/>
      <name val="Calibri"/>
      <family val="2"/>
      <scheme val="minor"/>
    </font>
    <font>
      <sz val="11"/>
      <color theme="2" tint="-0.749992370372631"/>
      <name val="Calibri"/>
      <family val="2"/>
      <scheme val="minor"/>
    </font>
    <font>
      <i/>
      <sz val="11"/>
      <color theme="2" tint="-0.749992370372631"/>
      <name val="Calibri"/>
      <family val="2"/>
      <scheme val="minor"/>
    </font>
    <font>
      <sz val="11"/>
      <color rgb="FF000000"/>
      <name val="Calibri"/>
      <family val="2"/>
    </font>
    <font>
      <u/>
      <sz val="11"/>
      <color theme="10"/>
      <name val="Calibri"/>
      <family val="2"/>
      <scheme val="minor"/>
    </font>
    <font>
      <b/>
      <i/>
      <sz val="11"/>
      <color theme="2" tint="-0.749992370372631"/>
      <name val="Calibri"/>
      <family val="2"/>
      <scheme val="minor"/>
    </font>
    <font>
      <sz val="11"/>
      <color theme="2" tint="-9.9978637043366805E-2"/>
      <name val="Calibri"/>
      <family val="2"/>
      <scheme val="minor"/>
    </font>
    <font>
      <i/>
      <sz val="11"/>
      <color theme="2" tint="-9.9978637043366805E-2"/>
      <name val="Calibri"/>
      <family val="2"/>
      <scheme val="minor"/>
    </font>
    <font>
      <b/>
      <sz val="11"/>
      <color theme="2" tint="-9.9978637043366805E-2"/>
      <name val="Calibri"/>
      <family val="2"/>
      <scheme val="minor"/>
    </font>
    <font>
      <sz val="11"/>
      <color theme="2" tint="-0.749992370372631"/>
      <name val="STXihei"/>
      <charset val="134"/>
    </font>
    <font>
      <u/>
      <sz val="11"/>
      <color theme="2" tint="-0.749992370372631"/>
      <name val="Calibri"/>
      <family val="2"/>
      <scheme val="minor"/>
    </font>
    <font>
      <sz val="10"/>
      <color theme="2" tint="-0.749992370372631"/>
      <name val="Segoe UI"/>
      <family val="2"/>
    </font>
    <font>
      <sz val="10"/>
      <color rgb="FF0D0D0D"/>
      <name val="Segoe U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s>
  <cellStyleXfs count="3">
    <xf numFmtId="0" fontId="0" fillId="0" borderId="0"/>
    <xf numFmtId="9" fontId="1" fillId="0" borderId="0" applyFont="0" applyFill="0" applyBorder="0" applyAlignment="0" applyProtection="0"/>
    <xf numFmtId="0" fontId="6" fillId="0" borderId="0" applyNumberFormat="0" applyFill="0" applyBorder="0" applyAlignment="0" applyProtection="0"/>
  </cellStyleXfs>
  <cellXfs count="84">
    <xf numFmtId="0" fontId="0" fillId="0" borderId="0" xfId="0"/>
    <xf numFmtId="0" fontId="2" fillId="0" borderId="1" xfId="0" applyFont="1" applyBorder="1"/>
    <xf numFmtId="0" fontId="3" fillId="0" borderId="1" xfId="0" applyFont="1" applyBorder="1"/>
    <xf numFmtId="0" fontId="4" fillId="0" borderId="0" xfId="0" quotePrefix="1" applyFont="1"/>
    <xf numFmtId="0" fontId="3" fillId="0" borderId="0" xfId="0" applyFont="1"/>
    <xf numFmtId="0" fontId="3" fillId="0" borderId="0" xfId="0" applyFont="1" applyAlignment="1">
      <alignment horizontal="left"/>
    </xf>
    <xf numFmtId="0" fontId="4" fillId="0" borderId="0" xfId="0" applyFont="1"/>
    <xf numFmtId="9" fontId="2" fillId="0" borderId="1" xfId="0" applyNumberFormat="1" applyFont="1" applyBorder="1"/>
    <xf numFmtId="0" fontId="2" fillId="0" borderId="0" xfId="0" applyFont="1"/>
    <xf numFmtId="0" fontId="3" fillId="0" borderId="4" xfId="0" applyFont="1" applyBorder="1"/>
    <xf numFmtId="0" fontId="3" fillId="0" borderId="3" xfId="0" applyFont="1" applyBorder="1"/>
    <xf numFmtId="0" fontId="2" fillId="0" borderId="4" xfId="0" applyFont="1" applyBorder="1"/>
    <xf numFmtId="0" fontId="4" fillId="0" borderId="0" xfId="0" quotePrefix="1" applyFont="1" applyAlignment="1">
      <alignment horizontal="left" vertical="top" wrapText="1"/>
    </xf>
    <xf numFmtId="9" fontId="3" fillId="0" borderId="1" xfId="0" applyNumberFormat="1" applyFont="1" applyBorder="1" applyAlignment="1">
      <alignment horizontal="left"/>
    </xf>
    <xf numFmtId="0" fontId="3" fillId="0" borderId="5" xfId="0" applyFont="1" applyBorder="1"/>
    <xf numFmtId="0" fontId="3" fillId="0" borderId="2" xfId="0" applyFont="1" applyBorder="1" applyAlignment="1">
      <alignment horizontal="left"/>
    </xf>
    <xf numFmtId="9" fontId="3" fillId="0" borderId="0" xfId="0" applyNumberFormat="1" applyFont="1" applyAlignment="1">
      <alignment horizontal="left"/>
    </xf>
    <xf numFmtId="9" fontId="3" fillId="0" borderId="0" xfId="0" applyNumberFormat="1" applyFont="1"/>
    <xf numFmtId="9" fontId="3" fillId="0" borderId="0" xfId="1" applyFont="1"/>
    <xf numFmtId="9" fontId="3" fillId="0" borderId="0" xfId="1" applyFont="1" applyFill="1"/>
    <xf numFmtId="0" fontId="3" fillId="3" borderId="1" xfId="0" applyFont="1" applyFill="1" applyBorder="1"/>
    <xf numFmtId="1" fontId="3" fillId="0" borderId="1" xfId="0" applyNumberFormat="1" applyFont="1" applyBorder="1"/>
    <xf numFmtId="0" fontId="3" fillId="3" borderId="0" xfId="0" applyFont="1" applyFill="1"/>
    <xf numFmtId="1" fontId="3" fillId="0" borderId="0" xfId="0" applyNumberFormat="1" applyFont="1"/>
    <xf numFmtId="0" fontId="3" fillId="3" borderId="2" xfId="0" applyFont="1" applyFill="1" applyBorder="1"/>
    <xf numFmtId="1" fontId="3" fillId="0" borderId="2" xfId="0" applyNumberFormat="1" applyFont="1" applyBorder="1"/>
    <xf numFmtId="0" fontId="2" fillId="2" borderId="4" xfId="0" applyFont="1" applyFill="1" applyBorder="1"/>
    <xf numFmtId="0" fontId="2" fillId="2" borderId="1" xfId="0" applyFont="1" applyFill="1" applyBorder="1"/>
    <xf numFmtId="0" fontId="3" fillId="0" borderId="0" xfId="0" applyFont="1" applyAlignment="1">
      <alignment vertical="top" wrapText="1"/>
    </xf>
    <xf numFmtId="0" fontId="3" fillId="0" borderId="6" xfId="0" applyFont="1" applyBorder="1" applyAlignment="1">
      <alignment vertical="top"/>
    </xf>
    <xf numFmtId="0" fontId="8" fillId="0" borderId="1" xfId="0" applyFont="1" applyBorder="1"/>
    <xf numFmtId="9" fontId="8" fillId="0" borderId="1" xfId="0" applyNumberFormat="1" applyFont="1" applyBorder="1" applyAlignment="1">
      <alignment horizontal="left"/>
    </xf>
    <xf numFmtId="0" fontId="8" fillId="0" borderId="0" xfId="0" applyFont="1" applyAlignment="1">
      <alignment horizontal="left"/>
    </xf>
    <xf numFmtId="0" fontId="8" fillId="0" borderId="0" xfId="0" applyFont="1"/>
    <xf numFmtId="9" fontId="8" fillId="0" borderId="0" xfId="0" applyNumberFormat="1" applyFont="1" applyAlignment="1">
      <alignment horizontal="left"/>
    </xf>
    <xf numFmtId="0" fontId="8" fillId="0" borderId="0" xfId="0" applyFont="1" applyAlignment="1">
      <alignment vertical="top" wrapText="1"/>
    </xf>
    <xf numFmtId="0" fontId="9" fillId="0" borderId="0" xfId="0" quotePrefix="1" applyFont="1" applyAlignment="1">
      <alignment horizontal="left" vertical="top" wrapText="1"/>
    </xf>
    <xf numFmtId="0" fontId="10" fillId="0" borderId="0" xfId="0" applyFont="1"/>
    <xf numFmtId="10" fontId="3" fillId="0" borderId="0" xfId="1" applyNumberFormat="1" applyFont="1"/>
    <xf numFmtId="0" fontId="3" fillId="0" borderId="1" xfId="0" applyFont="1" applyBorder="1" applyAlignment="1">
      <alignment horizontal="left"/>
    </xf>
    <xf numFmtId="0" fontId="11" fillId="0" borderId="0" xfId="0" applyFont="1"/>
    <xf numFmtId="0" fontId="3" fillId="2" borderId="5" xfId="0" applyFont="1" applyFill="1" applyBorder="1"/>
    <xf numFmtId="0" fontId="3" fillId="0" borderId="2" xfId="0" applyFont="1" applyBorder="1"/>
    <xf numFmtId="0" fontId="3" fillId="2" borderId="3" xfId="0" applyFont="1" applyFill="1" applyBorder="1"/>
    <xf numFmtId="0" fontId="3" fillId="0" borderId="0" xfId="1" applyNumberFormat="1" applyFont="1" applyFill="1" applyAlignment="1">
      <alignment horizontal="left"/>
    </xf>
    <xf numFmtId="9" fontId="3" fillId="0" borderId="0" xfId="1" applyFont="1" applyAlignment="1">
      <alignment horizontal="left"/>
    </xf>
    <xf numFmtId="10" fontId="2" fillId="2" borderId="0" xfId="1" applyNumberFormat="1" applyFont="1" applyFill="1" applyBorder="1" applyAlignment="1">
      <alignment horizontal="left"/>
    </xf>
    <xf numFmtId="10" fontId="2" fillId="0" borderId="0" xfId="1" applyNumberFormat="1" applyFont="1" applyAlignment="1">
      <alignment horizontal="left"/>
    </xf>
    <xf numFmtId="10" fontId="2" fillId="0" borderId="0" xfId="1" applyNumberFormat="1" applyFont="1" applyBorder="1" applyAlignment="1">
      <alignment horizontal="left"/>
    </xf>
    <xf numFmtId="10" fontId="3" fillId="0" borderId="1" xfId="1" applyNumberFormat="1" applyFont="1" applyFill="1" applyBorder="1"/>
    <xf numFmtId="0" fontId="3" fillId="2" borderId="1" xfId="0" applyFont="1" applyFill="1" applyBorder="1" applyAlignment="1">
      <alignment horizontal="left"/>
    </xf>
    <xf numFmtId="10" fontId="3" fillId="0" borderId="0" xfId="1" applyNumberFormat="1" applyFont="1" applyAlignment="1">
      <alignment horizontal="left"/>
    </xf>
    <xf numFmtId="164" fontId="3" fillId="0" borderId="0" xfId="0" applyNumberFormat="1" applyFont="1" applyAlignment="1">
      <alignment horizontal="left"/>
    </xf>
    <xf numFmtId="0" fontId="3" fillId="0" borderId="6" xfId="0" applyFont="1" applyBorder="1"/>
    <xf numFmtId="10" fontId="3" fillId="0" borderId="0" xfId="0" applyNumberFormat="1" applyFont="1" applyAlignment="1">
      <alignment horizontal="left"/>
    </xf>
    <xf numFmtId="0" fontId="3" fillId="0" borderId="0" xfId="0" applyFont="1" applyAlignment="1">
      <alignment horizontal="left" vertical="top" wrapText="1"/>
    </xf>
    <xf numFmtId="10" fontId="3" fillId="0" borderId="0" xfId="0" applyNumberFormat="1" applyFont="1"/>
    <xf numFmtId="164" fontId="3" fillId="0" borderId="0" xfId="0" applyNumberFormat="1" applyFont="1"/>
    <xf numFmtId="0" fontId="3" fillId="0" borderId="0" xfId="1" applyNumberFormat="1" applyFont="1"/>
    <xf numFmtId="10" fontId="3" fillId="0" borderId="0" xfId="1" applyNumberFormat="1" applyFont="1" applyBorder="1"/>
    <xf numFmtId="10" fontId="3" fillId="0" borderId="0" xfId="1" applyNumberFormat="1" applyFont="1" applyFill="1"/>
    <xf numFmtId="10" fontId="2" fillId="0" borderId="3" xfId="0" applyNumberFormat="1" applyFont="1" applyBorder="1"/>
    <xf numFmtId="10" fontId="3" fillId="0" borderId="0" xfId="1" applyNumberFormat="1" applyFont="1" applyFill="1" applyBorder="1"/>
    <xf numFmtId="0" fontId="12" fillId="0" borderId="0" xfId="2" applyFont="1"/>
    <xf numFmtId="0" fontId="8" fillId="0" borderId="1" xfId="0" applyFont="1" applyBorder="1" applyAlignment="1">
      <alignment horizontal="left"/>
    </xf>
    <xf numFmtId="9" fontId="8" fillId="0" borderId="0" xfId="1" applyFont="1" applyAlignment="1">
      <alignment horizontal="left"/>
    </xf>
    <xf numFmtId="9" fontId="8" fillId="0" borderId="0" xfId="0" applyNumberFormat="1" applyFont="1"/>
    <xf numFmtId="0" fontId="3" fillId="0" borderId="0" xfId="0" quotePrefix="1" applyFont="1"/>
    <xf numFmtId="0" fontId="3" fillId="0" borderId="0" xfId="0" quotePrefix="1" applyFont="1" applyAlignment="1">
      <alignment horizontal="left"/>
    </xf>
    <xf numFmtId="0" fontId="3" fillId="0" borderId="0" xfId="0" applyFont="1" applyAlignment="1">
      <alignment horizontal="right"/>
    </xf>
    <xf numFmtId="0" fontId="3" fillId="0" borderId="0" xfId="0" applyFont="1" applyAlignment="1">
      <alignment horizontal="left" indent="2"/>
    </xf>
    <xf numFmtId="0" fontId="7" fillId="0" borderId="0" xfId="0" applyFont="1" applyAlignment="1">
      <alignment horizontal="right"/>
    </xf>
    <xf numFmtId="0" fontId="4" fillId="0" borderId="0" xfId="0" applyFont="1" applyAlignment="1">
      <alignment horizontal="center"/>
    </xf>
    <xf numFmtId="0" fontId="13" fillId="0" borderId="0" xfId="0" applyFont="1"/>
    <xf numFmtId="0" fontId="14" fillId="0" borderId="0" xfId="0" applyFont="1"/>
    <xf numFmtId="0" fontId="3" fillId="0" borderId="0" xfId="0" applyFont="1" applyAlignment="1">
      <alignment horizontal="center" vertical="top" wrapText="1"/>
    </xf>
    <xf numFmtId="0" fontId="3" fillId="0" borderId="0" xfId="0" applyFont="1" applyAlignment="1">
      <alignment horizontal="center" vertical="center" wrapText="1"/>
    </xf>
    <xf numFmtId="0" fontId="3" fillId="0" borderId="0" xfId="0" applyFont="1" applyAlignment="1">
      <alignment horizontal="left" vertical="top" wrapText="1"/>
    </xf>
    <xf numFmtId="0" fontId="4" fillId="0" borderId="3" xfId="0" applyFont="1" applyBorder="1" applyAlignment="1">
      <alignment horizontal="left" vertical="top" wrapText="1"/>
    </xf>
    <xf numFmtId="0" fontId="4" fillId="0" borderId="0" xfId="0" applyFont="1" applyAlignment="1">
      <alignment horizontal="left" vertical="top" wrapText="1"/>
    </xf>
    <xf numFmtId="0" fontId="4" fillId="0" borderId="0" xfId="0" quotePrefix="1" applyFont="1" applyAlignment="1">
      <alignment horizontal="left" vertical="top" wrapText="1"/>
    </xf>
    <xf numFmtId="0" fontId="3" fillId="0" borderId="7" xfId="0" applyFont="1" applyBorder="1" applyAlignment="1">
      <alignment horizontal="left"/>
    </xf>
    <xf numFmtId="0" fontId="3" fillId="0" borderId="0" xfId="0" applyFont="1" applyAlignment="1">
      <alignment horizontal="left"/>
    </xf>
    <xf numFmtId="0" fontId="3" fillId="0" borderId="0" xfId="0" applyFont="1" applyAlignment="1">
      <alignment horizontal="center"/>
    </xf>
  </cellXfs>
  <cellStyles count="3">
    <cellStyle name="Link" xfId="2" builtinId="8"/>
    <cellStyle name="Prozent" xfId="1" builtinId="5"/>
    <cellStyle name="Standard" xfId="0" builtinId="0"/>
  </cellStyles>
  <dxfs count="0"/>
  <tableStyles count="1" defaultTableStyle="TableStyleMedium2" defaultPivotStyle="PivotStyleLight16">
    <tableStyle name="Invisible" pivot="0" table="0" count="0" xr9:uid="{1CA7A552-2926-4D00-BD06-59139894CD23}"/>
  </tableStyles>
  <colors>
    <mruColors>
      <color rgb="FFFFC1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40258374613107E-3"/>
          <c:y val="3.4827933393571688E-2"/>
          <c:w val="0.96471564887436534"/>
          <c:h val="0.85038079256486399"/>
        </c:manualLayout>
      </c:layout>
      <c:barChart>
        <c:barDir val="col"/>
        <c:grouping val="clustered"/>
        <c:varyColors val="0"/>
        <c:ser>
          <c:idx val="0"/>
          <c:order val="0"/>
          <c:tx>
            <c:strRef>
              <c:f>FL_Viz!$M$22</c:f>
              <c:strCache>
                <c:ptCount val="1"/>
                <c:pt idx="0">
                  <c:v>EK-Rendite</c:v>
                </c:pt>
              </c:strCache>
            </c:strRef>
          </c:tx>
          <c:spPr>
            <a:solidFill>
              <a:schemeClr val="accent1"/>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F9F2-44C4-93C2-A1F84A5B8BFA}"/>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3-F9F2-44C4-93C2-A1F84A5B8BFA}"/>
              </c:ext>
            </c:extLst>
          </c:dPt>
          <c:dPt>
            <c:idx val="3"/>
            <c:invertIfNegative val="0"/>
            <c:bubble3D val="0"/>
            <c:spPr>
              <a:solidFill>
                <a:srgbClr val="FF0000"/>
              </a:solidFill>
              <a:ln>
                <a:noFill/>
              </a:ln>
              <a:effectLst/>
            </c:spPr>
            <c:extLst>
              <c:ext xmlns:c16="http://schemas.microsoft.com/office/drawing/2014/chart" uri="{C3380CC4-5D6E-409C-BE32-E72D297353CC}">
                <c16:uniqueId val="{00000005-F9F2-44C4-93C2-A1F84A5B8B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FL_Viz!$M$22:$P$22</c:f>
              <c:strCache>
                <c:ptCount val="4"/>
                <c:pt idx="0">
                  <c:v>EK-Rendite</c:v>
                </c:pt>
                <c:pt idx="1">
                  <c:v>EK-Rendite anteilig</c:v>
                </c:pt>
                <c:pt idx="2">
                  <c:v>FK-Rendite anteilig</c:v>
                </c:pt>
                <c:pt idx="3">
                  <c:v>After-Tax Cost of FK</c:v>
                </c:pt>
              </c:strCache>
            </c:strRef>
          </c:cat>
          <c:val>
            <c:numRef>
              <c:f>FL_Viz!$M$23:$P$23</c:f>
              <c:numCache>
                <c:formatCode>0.00%</c:formatCode>
                <c:ptCount val="4"/>
                <c:pt idx="0">
                  <c:v>0.17249999999999999</c:v>
                </c:pt>
                <c:pt idx="1">
                  <c:v>0.09</c:v>
                </c:pt>
                <c:pt idx="2">
                  <c:v>0.09</c:v>
                </c:pt>
                <c:pt idx="3">
                  <c:v>7.4999999999999997E-3</c:v>
                </c:pt>
              </c:numCache>
            </c:numRef>
          </c:val>
          <c:extLst>
            <c:ext xmlns:c16="http://schemas.microsoft.com/office/drawing/2014/chart" uri="{C3380CC4-5D6E-409C-BE32-E72D297353CC}">
              <c16:uniqueId val="{00000006-F9F2-44C4-93C2-A1F84A5B8BFA}"/>
            </c:ext>
          </c:extLst>
        </c:ser>
        <c:dLbls>
          <c:showLegendKey val="0"/>
          <c:showVal val="0"/>
          <c:showCatName val="0"/>
          <c:showSerName val="0"/>
          <c:showPercent val="0"/>
          <c:showBubbleSize val="0"/>
        </c:dLbls>
        <c:gapWidth val="219"/>
        <c:axId val="147419503"/>
        <c:axId val="147419983"/>
      </c:barChart>
      <c:catAx>
        <c:axId val="147419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de-DE"/>
          </a:p>
        </c:txPr>
        <c:crossAx val="147419983"/>
        <c:crossesAt val="0"/>
        <c:auto val="1"/>
        <c:lblAlgn val="ctr"/>
        <c:lblOffset val="100"/>
        <c:noMultiLvlLbl val="0"/>
      </c:catAx>
      <c:valAx>
        <c:axId val="147419983"/>
        <c:scaling>
          <c:orientation val="minMax"/>
          <c:max val="0.45"/>
          <c:min val="0"/>
        </c:scaling>
        <c:delete val="1"/>
        <c:axPos val="l"/>
        <c:numFmt formatCode="0.00%" sourceLinked="1"/>
        <c:majorTickMark val="out"/>
        <c:minorTickMark val="none"/>
        <c:tickLblPos val="nextTo"/>
        <c:crossAx val="147419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72060003707211E-2"/>
          <c:y val="4.133645069979397E-2"/>
          <c:w val="0.85212620187155086"/>
          <c:h val="0.8396095795992331"/>
        </c:manualLayout>
      </c:layout>
      <c:barChart>
        <c:barDir val="col"/>
        <c:grouping val="clustered"/>
        <c:varyColors val="0"/>
        <c:ser>
          <c:idx val="0"/>
          <c:order val="0"/>
          <c:tx>
            <c:strRef>
              <c:f>FL_Viz!$Q$22</c:f>
              <c:strCache>
                <c:ptCount val="1"/>
                <c:pt idx="0">
                  <c:v>FK/EK (Hebel)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FL_Viz!$Q$22</c:f>
              <c:strCache>
                <c:ptCount val="1"/>
                <c:pt idx="0">
                  <c:v>FK/EK (Hebel)</c:v>
                </c:pt>
              </c:strCache>
            </c:strRef>
          </c:cat>
          <c:val>
            <c:numRef>
              <c:f>FL_Viz!$Q$23</c:f>
              <c:numCache>
                <c:formatCode>#,#00</c:formatCode>
                <c:ptCount val="1"/>
                <c:pt idx="0">
                  <c:v>1</c:v>
                </c:pt>
              </c:numCache>
            </c:numRef>
          </c:val>
          <c:extLst>
            <c:ext xmlns:c16="http://schemas.microsoft.com/office/drawing/2014/chart" uri="{C3380CC4-5D6E-409C-BE32-E72D297353CC}">
              <c16:uniqueId val="{00000000-F8A6-47DD-8EAB-A6CE61A1C818}"/>
            </c:ext>
          </c:extLst>
        </c:ser>
        <c:dLbls>
          <c:dLblPos val="outEnd"/>
          <c:showLegendKey val="0"/>
          <c:showVal val="1"/>
          <c:showCatName val="0"/>
          <c:showSerName val="0"/>
          <c:showPercent val="0"/>
          <c:showBubbleSize val="0"/>
        </c:dLbls>
        <c:gapWidth val="219"/>
        <c:overlap val="-27"/>
        <c:axId val="1206472735"/>
        <c:axId val="1206474175"/>
      </c:barChart>
      <c:catAx>
        <c:axId val="1206472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de-DE"/>
          </a:p>
        </c:txPr>
        <c:crossAx val="1206474175"/>
        <c:crossesAt val="0"/>
        <c:auto val="1"/>
        <c:lblAlgn val="ctr"/>
        <c:lblOffset val="100"/>
        <c:noMultiLvlLbl val="0"/>
      </c:catAx>
      <c:valAx>
        <c:axId val="1206474175"/>
        <c:scaling>
          <c:orientation val="minMax"/>
          <c:max val="10"/>
          <c:min val="0"/>
        </c:scaling>
        <c:delete val="1"/>
        <c:axPos val="l"/>
        <c:numFmt formatCode="#,#00" sourceLinked="1"/>
        <c:majorTickMark val="out"/>
        <c:minorTickMark val="none"/>
        <c:tickLblPos val="nextTo"/>
        <c:crossAx val="120647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416915862890269E-2"/>
          <c:y val="2.4397875889250274E-2"/>
          <c:w val="0.95169197655034687"/>
          <c:h val="0.82877913458556052"/>
        </c:manualLayout>
      </c:layout>
      <c:barChart>
        <c:barDir val="col"/>
        <c:grouping val="stacked"/>
        <c:varyColors val="0"/>
        <c:ser>
          <c:idx val="1"/>
          <c:order val="1"/>
          <c:tx>
            <c:strRef>
              <c:f>OL_Viz!$L$16</c:f>
              <c:strCache>
                <c:ptCount val="1"/>
                <c:pt idx="0">
                  <c:v>Fixe Kosten </c:v>
                </c:pt>
              </c:strCache>
            </c:strRef>
          </c:tx>
          <c:spPr>
            <a:solidFill>
              <a:srgbClr val="FF0000"/>
            </a:solidFill>
            <a:ln>
              <a:noFill/>
            </a:ln>
            <a:effectLst/>
          </c:spPr>
          <c:invertIfNegative val="0"/>
          <c:dPt>
            <c:idx val="0"/>
            <c:invertIfNegative val="0"/>
            <c:bubble3D val="0"/>
            <c:spPr>
              <a:solidFill>
                <a:srgbClr val="FFC1C1"/>
              </a:solidFill>
              <a:ln>
                <a:noFill/>
              </a:ln>
              <a:effectLst/>
            </c:spPr>
            <c:extLst>
              <c:ext xmlns:c16="http://schemas.microsoft.com/office/drawing/2014/chart" uri="{C3380CC4-5D6E-409C-BE32-E72D297353CC}">
                <c16:uniqueId val="{00000001-458F-4FAE-B570-D28A2D01E9EA}"/>
              </c:ext>
            </c:extLst>
          </c:dPt>
          <c:val>
            <c:numRef>
              <c:f>OL_Viz!$M$16:$W$16</c:f>
              <c:numCache>
                <c:formatCode>0</c:formatCode>
                <c:ptCount val="11"/>
                <c:pt idx="0" formatCode="General">
                  <c:v>20</c:v>
                </c:pt>
                <c:pt idx="1">
                  <c:v>20</c:v>
                </c:pt>
                <c:pt idx="2">
                  <c:v>20</c:v>
                </c:pt>
                <c:pt idx="3">
                  <c:v>20</c:v>
                </c:pt>
                <c:pt idx="4">
                  <c:v>20</c:v>
                </c:pt>
                <c:pt idx="5">
                  <c:v>20</c:v>
                </c:pt>
                <c:pt idx="6">
                  <c:v>20</c:v>
                </c:pt>
                <c:pt idx="7">
                  <c:v>20</c:v>
                </c:pt>
                <c:pt idx="8">
                  <c:v>20</c:v>
                </c:pt>
                <c:pt idx="9">
                  <c:v>20</c:v>
                </c:pt>
                <c:pt idx="10">
                  <c:v>20</c:v>
                </c:pt>
              </c:numCache>
            </c:numRef>
          </c:val>
          <c:extLst>
            <c:ext xmlns:c16="http://schemas.microsoft.com/office/drawing/2014/chart" uri="{C3380CC4-5D6E-409C-BE32-E72D297353CC}">
              <c16:uniqueId val="{00000001-C91D-4D99-95D2-A5D79B2E2EBA}"/>
            </c:ext>
          </c:extLst>
        </c:ser>
        <c:ser>
          <c:idx val="2"/>
          <c:order val="2"/>
          <c:tx>
            <c:strRef>
              <c:f>OL_Viz!$L$17</c:f>
              <c:strCache>
                <c:ptCount val="1"/>
                <c:pt idx="0">
                  <c:v>Variable Kosten  </c:v>
                </c:pt>
              </c:strCache>
            </c:strRef>
          </c:tx>
          <c:spPr>
            <a:solidFill>
              <a:srgbClr val="FFC000"/>
            </a:solidFill>
            <a:ln>
              <a:noFill/>
            </a:ln>
            <a:effectLst/>
          </c:spPr>
          <c:invertIfNegative val="0"/>
          <c:dPt>
            <c:idx val="0"/>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00-458F-4FAE-B570-D28A2D01E9EA}"/>
              </c:ext>
            </c:extLst>
          </c:dPt>
          <c:val>
            <c:numRef>
              <c:f>OL_Viz!$M$17:$W$17</c:f>
              <c:numCache>
                <c:formatCode>0</c:formatCode>
                <c:ptCount val="11"/>
                <c:pt idx="0" formatCode="General">
                  <c:v>80</c:v>
                </c:pt>
                <c:pt idx="1">
                  <c:v>68</c:v>
                </c:pt>
                <c:pt idx="2">
                  <c:v>72</c:v>
                </c:pt>
                <c:pt idx="3">
                  <c:v>78</c:v>
                </c:pt>
                <c:pt idx="4">
                  <c:v>82</c:v>
                </c:pt>
                <c:pt idx="5">
                  <c:v>72</c:v>
                </c:pt>
                <c:pt idx="6">
                  <c:v>70</c:v>
                </c:pt>
                <c:pt idx="7">
                  <c:v>64</c:v>
                </c:pt>
                <c:pt idx="8">
                  <c:v>76</c:v>
                </c:pt>
                <c:pt idx="9">
                  <c:v>78</c:v>
                </c:pt>
                <c:pt idx="10">
                  <c:v>74</c:v>
                </c:pt>
              </c:numCache>
            </c:numRef>
          </c:val>
          <c:extLst>
            <c:ext xmlns:c16="http://schemas.microsoft.com/office/drawing/2014/chart" uri="{C3380CC4-5D6E-409C-BE32-E72D297353CC}">
              <c16:uniqueId val="{00000002-C91D-4D99-95D2-A5D79B2E2EBA}"/>
            </c:ext>
          </c:extLst>
        </c:ser>
        <c:ser>
          <c:idx val="3"/>
          <c:order val="3"/>
          <c:tx>
            <c:strRef>
              <c:f>OL_Viz!$L$19</c:f>
              <c:strCache>
                <c:ptCount val="1"/>
                <c:pt idx="0">
                  <c:v>Gewinn </c:v>
                </c:pt>
              </c:strCache>
            </c:strRef>
          </c:tx>
          <c:spPr>
            <a:solidFill>
              <a:schemeClr val="accent6"/>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2-458F-4FAE-B570-D28A2D01E9EA}"/>
              </c:ext>
            </c:extLst>
          </c:dPt>
          <c:val>
            <c:numRef>
              <c:f>OL_Viz!$M$19:$W$19</c:f>
              <c:numCache>
                <c:formatCode>0</c:formatCode>
                <c:ptCount val="11"/>
                <c:pt idx="0" formatCode="General">
                  <c:v>5</c:v>
                </c:pt>
                <c:pt idx="1">
                  <c:v>1.25</c:v>
                </c:pt>
                <c:pt idx="2">
                  <c:v>2.5</c:v>
                </c:pt>
                <c:pt idx="3">
                  <c:v>4.375</c:v>
                </c:pt>
                <c:pt idx="4">
                  <c:v>5.625</c:v>
                </c:pt>
                <c:pt idx="5">
                  <c:v>2.5</c:v>
                </c:pt>
                <c:pt idx="6">
                  <c:v>1.875</c:v>
                </c:pt>
                <c:pt idx="7">
                  <c:v>0</c:v>
                </c:pt>
                <c:pt idx="8">
                  <c:v>3.75</c:v>
                </c:pt>
                <c:pt idx="9">
                  <c:v>4.375</c:v>
                </c:pt>
                <c:pt idx="10">
                  <c:v>3.125</c:v>
                </c:pt>
              </c:numCache>
            </c:numRef>
          </c:val>
          <c:extLst>
            <c:ext xmlns:c16="http://schemas.microsoft.com/office/drawing/2014/chart" uri="{C3380CC4-5D6E-409C-BE32-E72D297353CC}">
              <c16:uniqueId val="{00000003-C91D-4D99-95D2-A5D79B2E2EBA}"/>
            </c:ext>
          </c:extLst>
        </c:ser>
        <c:dLbls>
          <c:showLegendKey val="0"/>
          <c:showVal val="0"/>
          <c:showCatName val="0"/>
          <c:showSerName val="0"/>
          <c:showPercent val="0"/>
          <c:showBubbleSize val="0"/>
        </c:dLbls>
        <c:gapWidth val="190"/>
        <c:overlap val="100"/>
        <c:axId val="1045070848"/>
        <c:axId val="1045071808"/>
      </c:barChart>
      <c:lineChart>
        <c:grouping val="standard"/>
        <c:varyColors val="0"/>
        <c:ser>
          <c:idx val="0"/>
          <c:order val="0"/>
          <c:tx>
            <c:strRef>
              <c:f>OL_Viz!$L$15</c:f>
              <c:strCache>
                <c:ptCount val="1"/>
                <c:pt idx="0">
                  <c:v>Umsatz </c:v>
                </c:pt>
              </c:strCache>
            </c:strRef>
          </c:tx>
          <c:spPr>
            <a:ln w="28575" cap="rnd">
              <a:solidFill>
                <a:schemeClr val="accent1"/>
              </a:solidFill>
              <a:round/>
            </a:ln>
            <a:effectLst/>
          </c:spPr>
          <c:marker>
            <c:symbol val="none"/>
          </c:marker>
          <c:dPt>
            <c:idx val="0"/>
            <c:marker>
              <c:symbol val="none"/>
            </c:marker>
            <c:bubble3D val="0"/>
            <c:spPr>
              <a:ln w="28575" cap="rnd">
                <a:solidFill>
                  <a:schemeClr val="accent1">
                    <a:lumMod val="20000"/>
                    <a:lumOff val="80000"/>
                  </a:schemeClr>
                </a:solidFill>
                <a:round/>
              </a:ln>
              <a:effectLst/>
            </c:spPr>
            <c:extLst>
              <c:ext xmlns:c16="http://schemas.microsoft.com/office/drawing/2014/chart" uri="{C3380CC4-5D6E-409C-BE32-E72D297353CC}">
                <c16:uniqueId val="{00000003-458F-4FAE-B570-D28A2D01E9EA}"/>
              </c:ext>
            </c:extLst>
          </c:dPt>
          <c:cat>
            <c:numRef>
              <c:f>OL_Viz!$M$12:$W$12</c:f>
              <c:numCache>
                <c:formatCode>0</c:formatCode>
                <c:ptCount val="11"/>
                <c:pt idx="0" formatCode="General">
                  <c:v>0</c:v>
                </c:pt>
                <c:pt idx="1">
                  <c:v>1</c:v>
                </c:pt>
                <c:pt idx="2">
                  <c:v>2</c:v>
                </c:pt>
                <c:pt idx="3">
                  <c:v>3</c:v>
                </c:pt>
                <c:pt idx="4">
                  <c:v>4</c:v>
                </c:pt>
                <c:pt idx="5">
                  <c:v>5</c:v>
                </c:pt>
                <c:pt idx="6">
                  <c:v>6</c:v>
                </c:pt>
                <c:pt idx="7">
                  <c:v>7</c:v>
                </c:pt>
                <c:pt idx="8">
                  <c:v>8</c:v>
                </c:pt>
                <c:pt idx="9">
                  <c:v>9</c:v>
                </c:pt>
                <c:pt idx="10">
                  <c:v>10</c:v>
                </c:pt>
              </c:numCache>
            </c:numRef>
          </c:cat>
          <c:val>
            <c:numRef>
              <c:f>OL_Viz!$M$15:$W$15</c:f>
              <c:numCache>
                <c:formatCode>0</c:formatCode>
                <c:ptCount val="11"/>
                <c:pt idx="0" formatCode="General">
                  <c:v>105</c:v>
                </c:pt>
                <c:pt idx="1">
                  <c:v>89.25</c:v>
                </c:pt>
                <c:pt idx="2">
                  <c:v>94.5</c:v>
                </c:pt>
                <c:pt idx="3">
                  <c:v>102.375</c:v>
                </c:pt>
                <c:pt idx="4">
                  <c:v>107.625</c:v>
                </c:pt>
                <c:pt idx="5">
                  <c:v>94.5</c:v>
                </c:pt>
                <c:pt idx="6">
                  <c:v>91.875</c:v>
                </c:pt>
                <c:pt idx="7">
                  <c:v>84</c:v>
                </c:pt>
                <c:pt idx="8">
                  <c:v>99.75</c:v>
                </c:pt>
                <c:pt idx="9">
                  <c:v>102.375</c:v>
                </c:pt>
                <c:pt idx="10">
                  <c:v>97.125</c:v>
                </c:pt>
              </c:numCache>
            </c:numRef>
          </c:val>
          <c:smooth val="0"/>
          <c:extLst>
            <c:ext xmlns:c16="http://schemas.microsoft.com/office/drawing/2014/chart" uri="{C3380CC4-5D6E-409C-BE32-E72D297353CC}">
              <c16:uniqueId val="{00000000-C91D-4D99-95D2-A5D79B2E2EBA}"/>
            </c:ext>
          </c:extLst>
        </c:ser>
        <c:dLbls>
          <c:showLegendKey val="0"/>
          <c:showVal val="0"/>
          <c:showCatName val="0"/>
          <c:showSerName val="0"/>
          <c:showPercent val="0"/>
          <c:showBubbleSize val="0"/>
        </c:dLbls>
        <c:marker val="1"/>
        <c:smooth val="0"/>
        <c:axId val="1045070848"/>
        <c:axId val="1045071808"/>
      </c:lineChart>
      <c:catAx>
        <c:axId val="10450708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de-DE"/>
          </a:p>
        </c:txPr>
        <c:crossAx val="1045071808"/>
        <c:crosses val="autoZero"/>
        <c:auto val="1"/>
        <c:lblAlgn val="ctr"/>
        <c:lblOffset val="100"/>
        <c:noMultiLvlLbl val="0"/>
      </c:catAx>
      <c:valAx>
        <c:axId val="1045071808"/>
        <c:scaling>
          <c:orientation val="minMax"/>
        </c:scaling>
        <c:delete val="1"/>
        <c:axPos val="l"/>
        <c:numFmt formatCode="General" sourceLinked="1"/>
        <c:majorTickMark val="none"/>
        <c:minorTickMark val="none"/>
        <c:tickLblPos val="nextTo"/>
        <c:crossAx val="1045070848"/>
        <c:crosses val="autoZero"/>
        <c:crossBetween val="between"/>
      </c:valAx>
      <c:spPr>
        <a:noFill/>
        <a:ln w="25400">
          <a:noFill/>
        </a:ln>
        <a:effectLst/>
      </c:spPr>
    </c:plotArea>
    <c:legend>
      <c:legendPos val="b"/>
      <c:layout>
        <c:manualLayout>
          <c:xMode val="edge"/>
          <c:yMode val="edge"/>
          <c:x val="3.9028111605137222E-2"/>
          <c:y val="0.93529754949985155"/>
          <c:w val="0.42009693553877137"/>
          <c:h val="6.396915354011660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6" fmlaLink="$M$9" horiz="1" max="100" page="0" val="10"/>
</file>

<file path=xl/ctrlProps/ctrlProp4.xml><?xml version="1.0" encoding="utf-8"?>
<formControlPr xmlns="http://schemas.microsoft.com/office/spreadsheetml/2009/9/main" objectType="Scroll" dx="26" fmlaLink="$N$9" horiz="1" max="100" page="0" val="10"/>
</file>

<file path=xl/ctrlProps/ctrlProp5.xml><?xml version="1.0" encoding="utf-8"?>
<formControlPr xmlns="http://schemas.microsoft.com/office/spreadsheetml/2009/9/main" objectType="Scroll" dx="26" fmlaLink="$O$8" horiz="1" max="100" page="0" val="12"/>
</file>

<file path=xl/ctrlProps/ctrlProp6.xml><?xml version="1.0" encoding="utf-8"?>
<formControlPr xmlns="http://schemas.microsoft.com/office/spreadsheetml/2009/9/main" objectType="Scroll" dx="26" fmlaLink="$P$8" horiz="1" max="100" page="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Scroll" dx="26" fmlaLink="$Q$8" horiz="1" max="80" page="0" val="25"/>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6" fmlaLink="$M$8" horiz="1" max="100" page="0" val="20"/>
</file>

<file path=xl/ctrlProps/ctrlProp11.xml><?xml version="1.0" encoding="utf-8"?>
<formControlPr xmlns="http://schemas.microsoft.com/office/spreadsheetml/2009/9/main" objectType="Scroll" dx="26" fmlaLink="$N$8" horiz="1" max="100" page="0" val="5"/>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croll" dx="26" fmlaLink="$O$8" horiz="1" max="100" page="10" val="50"/>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599483</xdr:colOff>
      <xdr:row>1</xdr:row>
      <xdr:rowOff>24464</xdr:rowOff>
    </xdr:from>
    <xdr:to>
      <xdr:col>12</xdr:col>
      <xdr:colOff>248653</xdr:colOff>
      <xdr:row>6</xdr:row>
      <xdr:rowOff>147989</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3775820" y="393432"/>
          <a:ext cx="5440370" cy="10459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3200" b="1" u="none"/>
            <a:t>Financial </a:t>
          </a:r>
          <a:r>
            <a:rPr lang="de-DE" sz="1600" b="0" u="none"/>
            <a:t>&amp;</a:t>
          </a:r>
          <a:r>
            <a:rPr lang="de-DE" sz="1600" b="0" u="none" baseline="0"/>
            <a:t> </a:t>
          </a:r>
          <a:r>
            <a:rPr lang="de-DE" sz="3200" b="1" u="none"/>
            <a:t>Operating</a:t>
          </a:r>
          <a:r>
            <a:rPr lang="de-DE" sz="3200" b="1" u="none" baseline="0"/>
            <a:t> </a:t>
          </a:r>
          <a:r>
            <a:rPr lang="de-DE" sz="3200" b="0" u="none"/>
            <a:t>Leverage</a:t>
          </a:r>
        </a:p>
        <a:p>
          <a:pPr algn="ctr"/>
          <a:r>
            <a:rPr lang="de-DE" sz="1100" b="0" u="none" baseline="0">
              <a:solidFill>
                <a:schemeClr val="dk1"/>
              </a:solidFill>
              <a:effectLst/>
              <a:latin typeface="+mn-lt"/>
              <a:ea typeface="+mn-ea"/>
              <a:cs typeface="+mn-cs"/>
            </a:rPr>
            <a:t> </a:t>
          </a:r>
          <a:endParaRPr lang="de-DE" sz="2000" b="0" u="none"/>
        </a:p>
        <a:p>
          <a:pPr algn="ctr"/>
          <a:r>
            <a:rPr lang="de-DE" sz="1600" b="0" u="none"/>
            <a:t>-</a:t>
          </a:r>
          <a:r>
            <a:rPr lang="de-DE" sz="1600" b="0" u="none" baseline="0"/>
            <a:t> </a:t>
          </a:r>
          <a:r>
            <a:rPr lang="de-DE" sz="1600" b="0" u="none"/>
            <a:t>Interaktive Visualisierung </a:t>
          </a:r>
          <a:r>
            <a:rPr lang="de-DE" sz="1600" b="0" u="none" baseline="0"/>
            <a:t>-</a:t>
          </a:r>
          <a:endParaRPr lang="de-DE" sz="1600" b="0" u="none"/>
        </a:p>
      </xdr:txBody>
    </xdr:sp>
    <xdr:clientData/>
  </xdr:twoCellAnchor>
  <mc:AlternateContent xmlns:mc="http://schemas.openxmlformats.org/markup-compatibility/2006">
    <mc:Choice xmlns:a14="http://schemas.microsoft.com/office/drawing/2010/main" Requires="a14">
      <xdr:twoCellAnchor>
        <xdr:from>
          <xdr:col>3</xdr:col>
          <xdr:colOff>685800</xdr:colOff>
          <xdr:row>10</xdr:row>
          <xdr:rowOff>22860</xdr:rowOff>
        </xdr:from>
        <xdr:to>
          <xdr:col>6</xdr:col>
          <xdr:colOff>106680</xdr:colOff>
          <xdr:row>12</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Financial Leverage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640080</xdr:colOff>
          <xdr:row>10</xdr:row>
          <xdr:rowOff>45720</xdr:rowOff>
        </xdr:from>
        <xdr:to>
          <xdr:col>12</xdr:col>
          <xdr:colOff>762000</xdr:colOff>
          <xdr:row>12</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Operating Leverage</a:t>
              </a:r>
            </a:p>
          </xdr:txBody>
        </xdr:sp>
        <xdr:clientData fPrintsWithSheet="0"/>
      </xdr:twoCellAnchor>
    </mc:Choice>
    <mc:Fallback/>
  </mc:AlternateContent>
  <xdr:twoCellAnchor>
    <xdr:from>
      <xdr:col>1</xdr:col>
      <xdr:colOff>545432</xdr:colOff>
      <xdr:row>9</xdr:row>
      <xdr:rowOff>72190</xdr:rowOff>
    </xdr:from>
    <xdr:to>
      <xdr:col>8</xdr:col>
      <xdr:colOff>56147</xdr:colOff>
      <xdr:row>14</xdr:row>
      <xdr:rowOff>40107</xdr:rowOff>
    </xdr:to>
    <xdr:sp macro="" textlink="">
      <xdr:nvSpPr>
        <xdr:cNvPr id="3" name="Rechteck: abgerundete Ecken 2">
          <a:extLst>
            <a:ext uri="{FF2B5EF4-FFF2-40B4-BE49-F238E27FC236}">
              <a16:creationId xmlns:a16="http://schemas.microsoft.com/office/drawing/2014/main" id="{00000000-0008-0000-0000-000003000000}"/>
            </a:ext>
          </a:extLst>
        </xdr:cNvPr>
        <xdr:cNvSpPr/>
      </xdr:nvSpPr>
      <xdr:spPr>
        <a:xfrm>
          <a:off x="1339516" y="1917032"/>
          <a:ext cx="5069305" cy="2294022"/>
        </a:xfrm>
        <a:prstGeom prst="roundRect">
          <a:avLst/>
        </a:prstGeom>
        <a:noFill/>
        <a:ln w="1905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177929</xdr:colOff>
      <xdr:row>9</xdr:row>
      <xdr:rowOff>80211</xdr:rowOff>
    </xdr:from>
    <xdr:to>
      <xdr:col>15</xdr:col>
      <xdr:colOff>184485</xdr:colOff>
      <xdr:row>14</xdr:row>
      <xdr:rowOff>48128</xdr:rowOff>
    </xdr:to>
    <xdr:sp macro="" textlink="">
      <xdr:nvSpPr>
        <xdr:cNvPr id="4" name="Rechteck: abgerundete Ecken 3">
          <a:extLst>
            <a:ext uri="{FF2B5EF4-FFF2-40B4-BE49-F238E27FC236}">
              <a16:creationId xmlns:a16="http://schemas.microsoft.com/office/drawing/2014/main" id="{00000000-0008-0000-0000-000004000000}"/>
            </a:ext>
          </a:extLst>
        </xdr:cNvPr>
        <xdr:cNvSpPr/>
      </xdr:nvSpPr>
      <xdr:spPr>
        <a:xfrm>
          <a:off x="6521482" y="1898181"/>
          <a:ext cx="5000171" cy="2280993"/>
        </a:xfrm>
        <a:prstGeom prst="roundRect">
          <a:avLst/>
        </a:prstGeom>
        <a:noFill/>
        <a:ln w="1905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xdr:col>
      <xdr:colOff>541735</xdr:colOff>
      <xdr:row>14</xdr:row>
      <xdr:rowOff>139032</xdr:rowOff>
    </xdr:from>
    <xdr:to>
      <xdr:col>15</xdr:col>
      <xdr:colOff>188451</xdr:colOff>
      <xdr:row>19</xdr:row>
      <xdr:rowOff>119062</xdr:rowOff>
    </xdr:to>
    <xdr:sp macro="" textlink="">
      <xdr:nvSpPr>
        <xdr:cNvPr id="5" name="Rechteck: abgerundete Ecken 4">
          <a:extLst>
            <a:ext uri="{FF2B5EF4-FFF2-40B4-BE49-F238E27FC236}">
              <a16:creationId xmlns:a16="http://schemas.microsoft.com/office/drawing/2014/main" id="{00000000-0008-0000-0000-000005000000}"/>
            </a:ext>
          </a:extLst>
        </xdr:cNvPr>
        <xdr:cNvSpPr/>
      </xdr:nvSpPr>
      <xdr:spPr>
        <a:xfrm>
          <a:off x="2094412" y="4121097"/>
          <a:ext cx="10163136" cy="901804"/>
        </a:xfrm>
        <a:prstGeom prst="roundRect">
          <a:avLst>
            <a:gd name="adj" fmla="val 38793"/>
          </a:avLst>
        </a:prstGeom>
        <a:noFill/>
        <a:ln w="1905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22411</xdr:colOff>
      <xdr:row>5</xdr:row>
      <xdr:rowOff>0</xdr:rowOff>
    </xdr:from>
    <xdr:to>
      <xdr:col>1</xdr:col>
      <xdr:colOff>6280727</xdr:colOff>
      <xdr:row>25</xdr:row>
      <xdr:rowOff>95250</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426720</xdr:colOff>
          <xdr:row>6</xdr:row>
          <xdr:rowOff>45720</xdr:rowOff>
        </xdr:from>
        <xdr:to>
          <xdr:col>8</xdr:col>
          <xdr:colOff>99060</xdr:colOff>
          <xdr:row>8</xdr:row>
          <xdr:rowOff>7620</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6599191</xdr:colOff>
      <xdr:row>4</xdr:row>
      <xdr:rowOff>129153</xdr:rowOff>
    </xdr:from>
    <xdr:to>
      <xdr:col>5</xdr:col>
      <xdr:colOff>334</xdr:colOff>
      <xdr:row>25</xdr:row>
      <xdr:rowOff>127000</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3134067</xdr:colOff>
      <xdr:row>11</xdr:row>
      <xdr:rowOff>23316</xdr:rowOff>
    </xdr:from>
    <xdr:to>
      <xdr:col>1</xdr:col>
      <xdr:colOff>6034368</xdr:colOff>
      <xdr:row>25</xdr:row>
      <xdr:rowOff>91171</xdr:rowOff>
    </xdr:to>
    <xdr:sp macro="" textlink="">
      <xdr:nvSpPr>
        <xdr:cNvPr id="4" name="Runde Klammer links/rechts 3">
          <a:extLst>
            <a:ext uri="{FF2B5EF4-FFF2-40B4-BE49-F238E27FC236}">
              <a16:creationId xmlns:a16="http://schemas.microsoft.com/office/drawing/2014/main" id="{00000000-0008-0000-0100-000004000000}"/>
            </a:ext>
          </a:extLst>
        </xdr:cNvPr>
        <xdr:cNvSpPr/>
      </xdr:nvSpPr>
      <xdr:spPr>
        <a:xfrm>
          <a:off x="4064155" y="2057184"/>
          <a:ext cx="2900301" cy="2667619"/>
        </a:xfrm>
        <a:prstGeom prst="bracketPair">
          <a:avLst>
            <a:gd name="adj" fmla="val 5019"/>
          </a:avLst>
        </a:prstGeom>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xdr:col>
      <xdr:colOff>6199311</xdr:colOff>
      <xdr:row>18</xdr:row>
      <xdr:rowOff>182024</xdr:rowOff>
    </xdr:from>
    <xdr:to>
      <xdr:col>1</xdr:col>
      <xdr:colOff>6495435</xdr:colOff>
      <xdr:row>20</xdr:row>
      <xdr:rowOff>94906</xdr:rowOff>
    </xdr:to>
    <xdr:sp macro="" textlink="">
      <xdr:nvSpPr>
        <xdr:cNvPr id="5" name="Multiplikationszeichen 4">
          <a:extLst>
            <a:ext uri="{FF2B5EF4-FFF2-40B4-BE49-F238E27FC236}">
              <a16:creationId xmlns:a16="http://schemas.microsoft.com/office/drawing/2014/main" id="{00000000-0008-0000-0100-000005000000}"/>
            </a:ext>
          </a:extLst>
        </xdr:cNvPr>
        <xdr:cNvSpPr/>
      </xdr:nvSpPr>
      <xdr:spPr>
        <a:xfrm>
          <a:off x="7128325" y="3470106"/>
          <a:ext cx="296124" cy="278225"/>
        </a:xfrm>
        <a:prstGeom prst="mathMultiply">
          <a:avLst>
            <a:gd name="adj1" fmla="val 5794"/>
          </a:avLst>
        </a:prstGeom>
        <a:solidFill>
          <a:schemeClr val="bg1">
            <a:lumMod val="6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xdr:col>
      <xdr:colOff>2736379</xdr:colOff>
      <xdr:row>19</xdr:row>
      <xdr:rowOff>26207</xdr:rowOff>
    </xdr:from>
    <xdr:to>
      <xdr:col>1</xdr:col>
      <xdr:colOff>3002804</xdr:colOff>
      <xdr:row>20</xdr:row>
      <xdr:rowOff>115458</xdr:rowOff>
    </xdr:to>
    <xdr:sp macro="" textlink="">
      <xdr:nvSpPr>
        <xdr:cNvPr id="6" name="Additionszeichen 5">
          <a:extLst>
            <a:ext uri="{FF2B5EF4-FFF2-40B4-BE49-F238E27FC236}">
              <a16:creationId xmlns:a16="http://schemas.microsoft.com/office/drawing/2014/main" id="{00000000-0008-0000-0100-000006000000}"/>
            </a:ext>
          </a:extLst>
        </xdr:cNvPr>
        <xdr:cNvSpPr/>
      </xdr:nvSpPr>
      <xdr:spPr>
        <a:xfrm>
          <a:off x="3666963" y="3485552"/>
          <a:ext cx="266425" cy="271322"/>
        </a:xfrm>
        <a:prstGeom prst="mathPlus">
          <a:avLst>
            <a:gd name="adj1" fmla="val 6649"/>
          </a:avLst>
        </a:prstGeom>
        <a:solidFill>
          <a:schemeClr val="bg1">
            <a:lumMod val="6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6</xdr:col>
          <xdr:colOff>426720</xdr:colOff>
          <xdr:row>10</xdr:row>
          <xdr:rowOff>38100</xdr:rowOff>
        </xdr:from>
        <xdr:to>
          <xdr:col>8</xdr:col>
          <xdr:colOff>99060</xdr:colOff>
          <xdr:row>12</xdr:row>
          <xdr:rowOff>430</xdr:rowOff>
        </xdr:to>
        <xdr:sp macro="" textlink="">
          <xdr:nvSpPr>
            <xdr:cNvPr id="8194" name="Scroll Bar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xdr:row>
          <xdr:rowOff>38100</xdr:rowOff>
        </xdr:from>
        <xdr:to>
          <xdr:col>8</xdr:col>
          <xdr:colOff>99060</xdr:colOff>
          <xdr:row>16</xdr:row>
          <xdr:rowOff>430</xdr:rowOff>
        </xdr:to>
        <xdr:sp macro="" textlink="">
          <xdr:nvSpPr>
            <xdr:cNvPr id="8195" name="Scroll Bar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xdr:row>
          <xdr:rowOff>30480</xdr:rowOff>
        </xdr:from>
        <xdr:to>
          <xdr:col>8</xdr:col>
          <xdr:colOff>99060</xdr:colOff>
          <xdr:row>19</xdr:row>
          <xdr:rowOff>175260</xdr:rowOff>
        </xdr:to>
        <xdr:sp macro="" textlink="">
          <xdr:nvSpPr>
            <xdr:cNvPr id="8196" name="Scroll Bar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xdr:row>
          <xdr:rowOff>45720</xdr:rowOff>
        </xdr:from>
        <xdr:to>
          <xdr:col>8</xdr:col>
          <xdr:colOff>99060</xdr:colOff>
          <xdr:row>23</xdr:row>
          <xdr:rowOff>175260</xdr:rowOff>
        </xdr:to>
        <xdr:sp macro="" textlink="">
          <xdr:nvSpPr>
            <xdr:cNvPr id="8199" name="Scroll Bar 7"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14376</xdr:colOff>
      <xdr:row>1</xdr:row>
      <xdr:rowOff>141116</xdr:rowOff>
    </xdr:from>
    <xdr:to>
      <xdr:col>5</xdr:col>
      <xdr:colOff>81279</xdr:colOff>
      <xdr:row>4</xdr:row>
      <xdr:rowOff>12697</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949096" y="323996"/>
          <a:ext cx="8408263" cy="420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2400">
              <a:solidFill>
                <a:schemeClr val="bg2">
                  <a:lumMod val="25000"/>
                </a:schemeClr>
              </a:solidFill>
            </a:rPr>
            <a:t>Financial Leverage </a:t>
          </a:r>
        </a:p>
      </xdr:txBody>
    </xdr:sp>
    <xdr:clientData/>
  </xdr:twoCellAnchor>
  <xdr:twoCellAnchor>
    <xdr:from>
      <xdr:col>11</xdr:col>
      <xdr:colOff>25665</xdr:colOff>
      <xdr:row>1</xdr:row>
      <xdr:rowOff>110871</xdr:rowOff>
    </xdr:from>
    <xdr:to>
      <xdr:col>17</xdr:col>
      <xdr:colOff>16387</xdr:colOff>
      <xdr:row>3</xdr:row>
      <xdr:rowOff>161193</xdr:rowOff>
    </xdr:to>
    <xdr:sp macro="" textlink="">
      <xdr:nvSpPr>
        <xdr:cNvPr id="8" name="Textfeld 7">
          <a:extLst>
            <a:ext uri="{FF2B5EF4-FFF2-40B4-BE49-F238E27FC236}">
              <a16:creationId xmlns:a16="http://schemas.microsoft.com/office/drawing/2014/main" id="{00000000-0008-0000-0100-000008000000}"/>
            </a:ext>
          </a:extLst>
        </xdr:cNvPr>
        <xdr:cNvSpPr txBox="1"/>
      </xdr:nvSpPr>
      <xdr:spPr>
        <a:xfrm>
          <a:off x="11806185" y="293751"/>
          <a:ext cx="9767182" cy="416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2400">
              <a:solidFill>
                <a:schemeClr val="bg2">
                  <a:lumMod val="25000"/>
                </a:schemeClr>
              </a:solidFill>
            </a:rPr>
            <a:t>Berechnungen Financial Leverage</a:t>
          </a:r>
        </a:p>
      </xdr:txBody>
    </xdr:sp>
    <xdr:clientData/>
  </xdr:twoCellAnchor>
  <xdr:oneCellAnchor>
    <xdr:from>
      <xdr:col>11</xdr:col>
      <xdr:colOff>120256</xdr:colOff>
      <xdr:row>26</xdr:row>
      <xdr:rowOff>143771</xdr:rowOff>
    </xdr:from>
    <xdr:ext cx="5754332" cy="239425"/>
    <mc:AlternateContent xmlns:mc="http://schemas.openxmlformats.org/markup-compatibility/2006" xmlns:a14="http://schemas.microsoft.com/office/drawing/2010/main">
      <mc:Choice Requires="a14">
        <xdr:sp macro="" textlink="">
          <xdr:nvSpPr>
            <xdr:cNvPr id="9" name="Textfeld 8">
              <a:extLst>
                <a:ext uri="{FF2B5EF4-FFF2-40B4-BE49-F238E27FC236}">
                  <a16:creationId xmlns:a16="http://schemas.microsoft.com/office/drawing/2014/main" id="{00000000-0008-0000-0100-000009000000}"/>
                </a:ext>
              </a:extLst>
            </xdr:cNvPr>
            <xdr:cNvSpPr txBox="1"/>
          </xdr:nvSpPr>
          <xdr:spPr>
            <a:xfrm>
              <a:off x="22109399" y="5011240"/>
              <a:ext cx="5754332" cy="23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de-DE" sz="1100" b="1" i="1">
                      <a:solidFill>
                        <a:schemeClr val="tx1"/>
                      </a:solidFill>
                      <a:effectLst/>
                      <a:latin typeface="Cambria Math" panose="02040503050406030204" pitchFamily="18" charset="0"/>
                      <a:ea typeface="+mn-ea"/>
                      <a:cs typeface="+mn-cs"/>
                    </a:rPr>
                    <m:t>𝑬𝑲</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𝑅𝑒𝑛𝑑𝑖𝑡𝑒</m:t>
                  </m:r>
                  <m:r>
                    <a:rPr lang="de-DE" sz="1100" b="0" i="1">
                      <a:solidFill>
                        <a:schemeClr val="tx1"/>
                      </a:solidFill>
                      <a:effectLst/>
                      <a:latin typeface="Cambria Math" panose="02040503050406030204" pitchFamily="18" charset="0"/>
                      <a:ea typeface="+mn-ea"/>
                      <a:cs typeface="+mn-cs"/>
                    </a:rPr>
                    <m:t> </m:t>
                  </m:r>
                </m:oMath>
              </a14:m>
              <a:r>
                <a:rPr lang="de-DE" sz="1100" i="0" baseline="0">
                  <a:latin typeface="+mn-lt"/>
                </a:rPr>
                <a:t> </a:t>
              </a:r>
              <a14:m>
                <m:oMath xmlns:m="http://schemas.openxmlformats.org/officeDocument/2006/math">
                  <m:r>
                    <a:rPr lang="de-DE" sz="1100" i="1">
                      <a:latin typeface="Cambria Math" panose="02040503050406030204" pitchFamily="18" charset="0"/>
                    </a:rPr>
                    <m:t>=</m:t>
                  </m:r>
                  <m:r>
                    <a:rPr lang="de-DE" sz="1100" b="1" i="1">
                      <a:latin typeface="Cambria Math" panose="02040503050406030204" pitchFamily="18" charset="0"/>
                    </a:rPr>
                    <m:t>𝑬𝑲</m:t>
                  </m:r>
                  <m:r>
                    <a:rPr lang="de-DE" sz="1100" b="0" i="1">
                      <a:latin typeface="Cambria Math" panose="02040503050406030204" pitchFamily="18" charset="0"/>
                    </a:rPr>
                    <m:t> </m:t>
                  </m:r>
                  <m:r>
                    <a:rPr lang="de-DE" sz="1100" b="0" i="1">
                      <a:latin typeface="Cambria Math" panose="02040503050406030204" pitchFamily="18" charset="0"/>
                    </a:rPr>
                    <m:t>𝑅𝑒𝑛𝑑𝑖𝑡𝑒</m:t>
                  </m:r>
                  <m:r>
                    <a:rPr lang="de-DE" sz="1100" b="0" i="1">
                      <a:latin typeface="Cambria Math" panose="02040503050406030204" pitchFamily="18" charset="0"/>
                    </a:rPr>
                    <m:t> (</m:t>
                  </m:r>
                  <m:r>
                    <a:rPr lang="de-DE" sz="1100" b="0" i="1">
                      <a:latin typeface="Cambria Math" panose="02040503050406030204" pitchFamily="18" charset="0"/>
                    </a:rPr>
                    <m:t>𝑎𝑛𝑡𝑒𝑖𝑙𝑖𝑔</m:t>
                  </m:r>
                  <m:r>
                    <a:rPr lang="de-DE" sz="1100" b="0" i="1">
                      <a:latin typeface="Cambria Math" panose="02040503050406030204" pitchFamily="18" charset="0"/>
                    </a:rPr>
                    <m:t>)+</m:t>
                  </m:r>
                  <m:d>
                    <m:dPr>
                      <m:ctrlPr>
                        <a:rPr lang="de-DE" sz="1100" b="0" i="1">
                          <a:latin typeface="Cambria Math" panose="02040503050406030204" pitchFamily="18" charset="0"/>
                        </a:rPr>
                      </m:ctrlPr>
                    </m:dPr>
                    <m:e>
                      <m:r>
                        <a:rPr lang="de-DE" sz="1100" b="1" i="1">
                          <a:latin typeface="Cambria Math" panose="02040503050406030204" pitchFamily="18" charset="0"/>
                        </a:rPr>
                        <m:t>𝑭𝑲</m:t>
                      </m:r>
                      <m:r>
                        <a:rPr lang="de-DE" sz="1100" b="0" i="1">
                          <a:latin typeface="Cambria Math" panose="02040503050406030204" pitchFamily="18" charset="0"/>
                        </a:rPr>
                        <m:t> </m:t>
                      </m:r>
                      <m:r>
                        <a:rPr lang="de-DE" sz="1100" b="0" i="1">
                          <a:latin typeface="Cambria Math" panose="02040503050406030204" pitchFamily="18" charset="0"/>
                        </a:rPr>
                        <m:t>𝑅𝑒𝑛𝑑𝑖𝑡𝑒</m:t>
                      </m:r>
                      <m:r>
                        <a:rPr lang="de-DE" sz="1100" b="0" i="1">
                          <a:solidFill>
                            <a:schemeClr val="tx1"/>
                          </a:solidFill>
                          <a:effectLst/>
                          <a:latin typeface="Cambria Math" panose="02040503050406030204" pitchFamily="18" charset="0"/>
                          <a:ea typeface="+mn-ea"/>
                          <a:cs typeface="+mn-cs"/>
                        </a:rPr>
                        <m:t> </m:t>
                      </m:r>
                      <m:d>
                        <m:dPr>
                          <m:ctrlPr>
                            <a:rPr lang="de-DE" sz="1100" b="0" i="1">
                              <a:solidFill>
                                <a:schemeClr val="tx1"/>
                              </a:solidFill>
                              <a:effectLst/>
                              <a:latin typeface="Cambria Math" panose="02040503050406030204" pitchFamily="18" charset="0"/>
                              <a:ea typeface="+mn-ea"/>
                              <a:cs typeface="+mn-cs"/>
                            </a:rPr>
                          </m:ctrlPr>
                        </m:dPr>
                        <m:e>
                          <m:r>
                            <a:rPr lang="de-DE" sz="1100" b="0" i="1">
                              <a:solidFill>
                                <a:schemeClr val="tx1"/>
                              </a:solidFill>
                              <a:effectLst/>
                              <a:latin typeface="Cambria Math" panose="02040503050406030204" pitchFamily="18" charset="0"/>
                              <a:ea typeface="+mn-ea"/>
                              <a:cs typeface="+mn-cs"/>
                            </a:rPr>
                            <m:t>𝑎𝑛𝑡𝑒𝑖𝑙𝑖𝑔</m:t>
                          </m:r>
                        </m:e>
                      </m:d>
                      <m:r>
                        <a:rPr lang="de-DE" sz="1100" b="0" i="1">
                          <a:solidFill>
                            <a:schemeClr val="tx1"/>
                          </a:solidFill>
                          <a:effectLst/>
                          <a:latin typeface="Cambria Math" panose="02040503050406030204" pitchFamily="18" charset="0"/>
                          <a:ea typeface="+mn-ea"/>
                          <a:cs typeface="+mn-cs"/>
                        </a:rPr>
                        <m:t>−</m:t>
                      </m:r>
                      <m:r>
                        <a:rPr lang="de-DE" sz="1100" b="0" i="1">
                          <a:latin typeface="Cambria Math" panose="02040503050406030204" pitchFamily="18" charset="0"/>
                        </a:rPr>
                        <m:t>𝐴𝑓𝑡𝑒𝑟</m:t>
                      </m:r>
                      <m:r>
                        <a:rPr lang="de-DE" sz="1100" b="0" i="1">
                          <a:latin typeface="Cambria Math" panose="02040503050406030204" pitchFamily="18" charset="0"/>
                        </a:rPr>
                        <m:t> </m:t>
                      </m:r>
                      <m:r>
                        <a:rPr lang="de-DE" sz="1100" b="0" i="1">
                          <a:latin typeface="Cambria Math" panose="02040503050406030204" pitchFamily="18" charset="0"/>
                        </a:rPr>
                        <m:t>𝑇𝑎𝑥</m:t>
                      </m:r>
                      <m:r>
                        <a:rPr lang="de-DE" sz="1100" b="0" i="1">
                          <a:latin typeface="Cambria Math" panose="02040503050406030204" pitchFamily="18" charset="0"/>
                        </a:rPr>
                        <m:t> </m:t>
                      </m:r>
                      <m:r>
                        <a:rPr lang="de-DE" sz="1100" b="0" i="1">
                          <a:latin typeface="Cambria Math" panose="02040503050406030204" pitchFamily="18" charset="0"/>
                        </a:rPr>
                        <m:t>𝐶𝑜𝑠𝑡</m:t>
                      </m:r>
                      <m:r>
                        <a:rPr lang="de-DE" sz="1100" b="0" i="1">
                          <a:latin typeface="Cambria Math" panose="02040503050406030204" pitchFamily="18" charset="0"/>
                        </a:rPr>
                        <m:t> </m:t>
                      </m:r>
                      <m:r>
                        <a:rPr lang="de-DE" sz="1100" b="0" i="1">
                          <a:latin typeface="Cambria Math" panose="02040503050406030204" pitchFamily="18" charset="0"/>
                        </a:rPr>
                        <m:t>𝑜𝑓</m:t>
                      </m:r>
                      <m:r>
                        <a:rPr lang="de-DE" sz="1100" b="0" i="1">
                          <a:latin typeface="Cambria Math" panose="02040503050406030204" pitchFamily="18" charset="0"/>
                        </a:rPr>
                        <m:t> </m:t>
                      </m:r>
                      <m:r>
                        <a:rPr lang="de-DE" sz="1100" b="0" i="1">
                          <a:latin typeface="Cambria Math" panose="02040503050406030204" pitchFamily="18" charset="0"/>
                        </a:rPr>
                        <m:t>𝐹𝐾</m:t>
                      </m:r>
                    </m:e>
                  </m:d>
                  <m:r>
                    <a:rPr lang="de-DE" sz="1100" b="0" i="1">
                      <a:latin typeface="Cambria Math" panose="02040503050406030204" pitchFamily="18" charset="0"/>
                    </a:rPr>
                    <m:t>∗</m:t>
                  </m:r>
                  <m:f>
                    <m:fPr>
                      <m:ctrlPr>
                        <a:rPr lang="de-DE" sz="1100" i="1">
                          <a:latin typeface="Cambria Math" panose="02040503050406030204" pitchFamily="18" charset="0"/>
                        </a:rPr>
                      </m:ctrlPr>
                    </m:fPr>
                    <m:num>
                      <m:r>
                        <a:rPr lang="de-DE" sz="1100" b="0" i="1">
                          <a:latin typeface="Cambria Math" panose="02040503050406030204" pitchFamily="18" charset="0"/>
                        </a:rPr>
                        <m:t>𝐹𝐾</m:t>
                      </m:r>
                    </m:num>
                    <m:den>
                      <m:r>
                        <a:rPr lang="de-DE" sz="1100" b="0" i="1">
                          <a:latin typeface="Cambria Math" panose="02040503050406030204" pitchFamily="18" charset="0"/>
                        </a:rPr>
                        <m:t>𝐸𝐾</m:t>
                      </m:r>
                    </m:den>
                  </m:f>
                </m:oMath>
              </a14:m>
              <a:endParaRPr lang="de-DE" sz="1100"/>
            </a:p>
          </xdr:txBody>
        </xdr:sp>
      </mc:Choice>
      <mc:Fallback xmlns="">
        <xdr:sp macro="" textlink="">
          <xdr:nvSpPr>
            <xdr:cNvPr id="9" name="Textfeld 8">
              <a:extLst>
                <a:ext uri="{FF2B5EF4-FFF2-40B4-BE49-F238E27FC236}">
                  <a16:creationId xmlns:a16="http://schemas.microsoft.com/office/drawing/2014/main" id="{00000000-0008-0000-0100-000009000000}"/>
                </a:ext>
              </a:extLst>
            </xdr:cNvPr>
            <xdr:cNvSpPr txBox="1"/>
          </xdr:nvSpPr>
          <xdr:spPr>
            <a:xfrm>
              <a:off x="22109399" y="5011240"/>
              <a:ext cx="5754332" cy="23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de-DE" sz="1100" b="1" i="0">
                  <a:solidFill>
                    <a:schemeClr val="tx1"/>
                  </a:solidFill>
                  <a:effectLst/>
                  <a:latin typeface="Cambria Math" panose="02040503050406030204" pitchFamily="18" charset="0"/>
                  <a:ea typeface="+mn-ea"/>
                  <a:cs typeface="+mn-cs"/>
                </a:rPr>
                <a:t>𝑬𝑲</a:t>
              </a:r>
              <a:r>
                <a:rPr lang="de-DE" sz="1100" b="0" i="0">
                  <a:solidFill>
                    <a:schemeClr val="tx1"/>
                  </a:solidFill>
                  <a:effectLst/>
                  <a:latin typeface="Cambria Math" panose="02040503050406030204" pitchFamily="18" charset="0"/>
                  <a:ea typeface="+mn-ea"/>
                  <a:cs typeface="+mn-cs"/>
                </a:rPr>
                <a:t> 𝑅𝑒𝑛𝑑𝑖𝑡𝑒 </a:t>
              </a:r>
              <a:r>
                <a:rPr lang="de-DE" sz="1100" i="0" baseline="0">
                  <a:latin typeface="+mn-lt"/>
                </a:rPr>
                <a:t> </a:t>
              </a:r>
              <a:r>
                <a:rPr lang="de-DE" sz="1100" i="0">
                  <a:latin typeface="Cambria Math" panose="02040503050406030204" pitchFamily="18" charset="0"/>
                </a:rPr>
                <a:t>=</a:t>
              </a:r>
              <a:r>
                <a:rPr lang="de-DE" sz="1100" b="1" i="0">
                  <a:latin typeface="Cambria Math" panose="02040503050406030204" pitchFamily="18" charset="0"/>
                </a:rPr>
                <a:t>𝑬𝑲</a:t>
              </a:r>
              <a:r>
                <a:rPr lang="de-DE" sz="1100" b="0" i="0">
                  <a:latin typeface="Cambria Math" panose="02040503050406030204" pitchFamily="18" charset="0"/>
                </a:rPr>
                <a:t> 𝑅𝑒𝑛𝑑𝑖𝑡𝑒 (𝑎𝑛𝑡𝑒𝑖𝑙𝑖𝑔)+(</a:t>
              </a:r>
              <a:r>
                <a:rPr lang="de-DE" sz="1100" b="1" i="0">
                  <a:latin typeface="Cambria Math" panose="02040503050406030204" pitchFamily="18" charset="0"/>
                </a:rPr>
                <a:t>𝑭𝑲</a:t>
              </a:r>
              <a:r>
                <a:rPr lang="de-DE" sz="1100" b="0" i="0">
                  <a:latin typeface="Cambria Math" panose="02040503050406030204" pitchFamily="18" charset="0"/>
                </a:rPr>
                <a:t> 𝑅𝑒𝑛𝑑𝑖𝑡𝑒</a:t>
              </a:r>
              <a:r>
                <a:rPr lang="de-DE" sz="1100" b="0" i="0">
                  <a:solidFill>
                    <a:schemeClr val="tx1"/>
                  </a:solidFill>
                  <a:effectLst/>
                  <a:latin typeface="Cambria Math" panose="02040503050406030204" pitchFamily="18" charset="0"/>
                  <a:ea typeface="+mn-ea"/>
                  <a:cs typeface="+mn-cs"/>
                </a:rPr>
                <a:t> (𝑎𝑛𝑡𝑒𝑖𝑙𝑖𝑔)−</a:t>
              </a:r>
              <a:r>
                <a:rPr lang="de-DE" sz="1100" b="0" i="0">
                  <a:latin typeface="Cambria Math" panose="02040503050406030204" pitchFamily="18" charset="0"/>
                </a:rPr>
                <a:t>𝐴𝑓𝑡𝑒𝑟 𝑇𝑎𝑥 𝐶𝑜𝑠𝑡 𝑜𝑓 𝐹𝐾)∗𝐹𝐾/𝐸𝐾</a:t>
              </a:r>
              <a:endParaRPr lang="de-DE" sz="1100"/>
            </a:p>
          </xdr:txBody>
        </xdr:sp>
      </mc:Fallback>
    </mc:AlternateContent>
    <xdr:clientData/>
  </xdr:oneCellAnchor>
  <xdr:oneCellAnchor>
    <xdr:from>
      <xdr:col>11</xdr:col>
      <xdr:colOff>1061888</xdr:colOff>
      <xdr:row>34</xdr:row>
      <xdr:rowOff>167981</xdr:rowOff>
    </xdr:from>
    <xdr:ext cx="7208871" cy="315214"/>
    <mc:AlternateContent xmlns:mc="http://schemas.openxmlformats.org/markup-compatibility/2006" xmlns:a14="http://schemas.microsoft.com/office/drawing/2010/main">
      <mc:Choice Requires="a14">
        <xdr:sp macro="" textlink="">
          <xdr:nvSpPr>
            <xdr:cNvPr id="10" name="Textfeld 9">
              <a:extLst>
                <a:ext uri="{FF2B5EF4-FFF2-40B4-BE49-F238E27FC236}">
                  <a16:creationId xmlns:a16="http://schemas.microsoft.com/office/drawing/2014/main" id="{00000000-0008-0000-0100-00000A000000}"/>
                </a:ext>
              </a:extLst>
            </xdr:cNvPr>
            <xdr:cNvSpPr txBox="1"/>
          </xdr:nvSpPr>
          <xdr:spPr>
            <a:xfrm>
              <a:off x="23043085" y="6419718"/>
              <a:ext cx="7208871" cy="315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de-DE" sz="1100" b="1" i="1">
                      <a:solidFill>
                        <a:schemeClr val="tx1"/>
                      </a:solidFill>
                      <a:effectLst/>
                      <a:latin typeface="Cambria Math" panose="02040503050406030204" pitchFamily="18" charset="0"/>
                      <a:ea typeface="+mn-ea"/>
                      <a:cs typeface="+mn-cs"/>
                    </a:rPr>
                    <m:t>𝑬𝑲</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𝑅𝑒𝑛𝑑𝑖𝑡𝑒</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𝑎𝑛𝑡𝑒𝑖𝑙𝑖𝑔</m:t>
                  </m:r>
                  <m:r>
                    <a:rPr lang="de-DE" sz="1100" b="0" i="1">
                      <a:solidFill>
                        <a:schemeClr val="tx1"/>
                      </a:solidFill>
                      <a:effectLst/>
                      <a:latin typeface="Cambria Math" panose="02040503050406030204" pitchFamily="18" charset="0"/>
                      <a:ea typeface="+mn-ea"/>
                      <a:cs typeface="+mn-cs"/>
                    </a:rPr>
                    <m:t>)</m:t>
                  </m:r>
                </m:oMath>
              </a14:m>
              <a:r>
                <a:rPr lang="de-DE" sz="1100" i="0" baseline="0">
                  <a:latin typeface="+mn-lt"/>
                </a:rPr>
                <a:t> </a:t>
              </a:r>
              <a14:m>
                <m:oMath xmlns:m="http://schemas.openxmlformats.org/officeDocument/2006/math">
                  <m:r>
                    <a:rPr lang="de-DE" sz="1100" i="1">
                      <a:latin typeface="Cambria Math" panose="02040503050406030204" pitchFamily="18" charset="0"/>
                    </a:rPr>
                    <m:t>=</m:t>
                  </m:r>
                  <m:r>
                    <a:rPr lang="de-DE" sz="1100" b="0" i="1">
                      <a:latin typeface="Cambria Math" panose="02040503050406030204" pitchFamily="18" charset="0"/>
                    </a:rPr>
                    <m:t> </m:t>
                  </m:r>
                  <m:f>
                    <m:fPr>
                      <m:ctrlPr>
                        <a:rPr lang="de-DE" sz="1100" i="1">
                          <a:latin typeface="Cambria Math" panose="02040503050406030204" pitchFamily="18" charset="0"/>
                        </a:rPr>
                      </m:ctrlPr>
                    </m:fPr>
                    <m:num>
                      <m:d>
                        <m:dPr>
                          <m:begChr m:val="["/>
                          <m:endChr m:val="]"/>
                          <m:ctrlPr>
                            <a:rPr lang="de-DE" sz="1100" b="0" i="1">
                              <a:latin typeface="Cambria Math" panose="02040503050406030204" pitchFamily="18" charset="0"/>
                            </a:rPr>
                          </m:ctrlPr>
                        </m:dPr>
                        <m:e>
                          <m:r>
                            <a:rPr lang="de-DE" sz="1100" b="0" i="1">
                              <a:latin typeface="Cambria Math" panose="02040503050406030204" pitchFamily="18" charset="0"/>
                            </a:rPr>
                            <m:t>𝐽𝑎h𝑟𝑒𝑠𝑒𝑟𝑔𝑒𝑏𝑛𝑖𝑠</m:t>
                          </m:r>
                          <m:r>
                            <a:rPr lang="de-DE" sz="1100" b="0" i="1">
                              <a:latin typeface="Cambria Math" panose="02040503050406030204" pitchFamily="18" charset="0"/>
                            </a:rPr>
                            <m:t> </m:t>
                          </m:r>
                          <m:r>
                            <a:rPr lang="de-DE" sz="1100" b="0" i="1">
                              <a:latin typeface="Cambria Math" panose="02040503050406030204" pitchFamily="18" charset="0"/>
                            </a:rPr>
                            <m:t>𝑣𝑜𝑟</m:t>
                          </m:r>
                          <m:r>
                            <a:rPr lang="de-DE" sz="1100" b="0" i="1">
                              <a:latin typeface="Cambria Math" panose="02040503050406030204" pitchFamily="18" charset="0"/>
                            </a:rPr>
                            <m:t> </m:t>
                          </m:r>
                          <m:r>
                            <a:rPr lang="de-DE" sz="1100" b="0" i="1">
                              <a:latin typeface="Cambria Math" panose="02040503050406030204" pitchFamily="18" charset="0"/>
                            </a:rPr>
                            <m:t>𝑆𝑡𝑒𝑢𝑒𝑟𝑛</m:t>
                          </m:r>
                          <m:r>
                            <a:rPr lang="de-DE" sz="1100" b="0" i="1">
                              <a:latin typeface="Cambria Math" panose="02040503050406030204" pitchFamily="18" charset="0"/>
                            </a:rPr>
                            <m:t> </m:t>
                          </m:r>
                          <m:r>
                            <a:rPr lang="de-DE" sz="1100" b="0" i="1">
                              <a:latin typeface="Cambria Math" panose="02040503050406030204" pitchFamily="18" charset="0"/>
                            </a:rPr>
                            <m:t>𝑢𝑛𝑑</m:t>
                          </m:r>
                          <m:r>
                            <a:rPr lang="de-DE" sz="1100" b="0" i="1">
                              <a:latin typeface="Cambria Math" panose="02040503050406030204" pitchFamily="18" charset="0"/>
                            </a:rPr>
                            <m:t> </m:t>
                          </m:r>
                          <m:r>
                            <a:rPr lang="de-DE" sz="1100" b="0" i="1">
                              <a:latin typeface="Cambria Math" panose="02040503050406030204" pitchFamily="18" charset="0"/>
                            </a:rPr>
                            <m:t>𝑍𝑖𝑛𝑠𝑒𝑛</m:t>
                          </m:r>
                          <m:r>
                            <a:rPr lang="de-DE" sz="1100" b="0" i="1">
                              <a:latin typeface="Cambria Math" panose="02040503050406030204" pitchFamily="18" charset="0"/>
                            </a:rPr>
                            <m:t> ∗ </m:t>
                          </m:r>
                          <m:f>
                            <m:fPr>
                              <m:ctrlPr>
                                <a:rPr lang="de-DE" sz="1100" b="0" i="1">
                                  <a:solidFill>
                                    <a:schemeClr val="tx1"/>
                                  </a:solidFill>
                                  <a:effectLst/>
                                  <a:latin typeface="Cambria Math" panose="02040503050406030204" pitchFamily="18" charset="0"/>
                                  <a:ea typeface="+mn-ea"/>
                                  <a:cs typeface="+mn-cs"/>
                                </a:rPr>
                              </m:ctrlPr>
                            </m:fPr>
                            <m:num>
                              <m:r>
                                <a:rPr lang="de-DE" sz="1100" b="0" i="1">
                                  <a:solidFill>
                                    <a:schemeClr val="tx1"/>
                                  </a:solidFill>
                                  <a:effectLst/>
                                  <a:latin typeface="Cambria Math" panose="02040503050406030204" pitchFamily="18" charset="0"/>
                                  <a:ea typeface="+mn-ea"/>
                                  <a:cs typeface="+mn-cs"/>
                                </a:rPr>
                                <m:t>𝐸𝐾</m:t>
                              </m:r>
                            </m:num>
                            <m:den>
                              <m:r>
                                <a:rPr lang="de-DE" sz="1100" b="0" i="1">
                                  <a:solidFill>
                                    <a:schemeClr val="tx1"/>
                                  </a:solidFill>
                                  <a:effectLst/>
                                  <a:latin typeface="Cambria Math" panose="02040503050406030204" pitchFamily="18" charset="0"/>
                                  <a:ea typeface="+mn-ea"/>
                                  <a:cs typeface="+mn-cs"/>
                                </a:rPr>
                                <m:t>𝐸𝐾</m:t>
                              </m:r>
                              <m:r>
                                <a:rPr lang="de-DE" sz="1100" b="0" i="1">
                                  <a:solidFill>
                                    <a:schemeClr val="tx1"/>
                                  </a:solidFill>
                                  <a:effectLst/>
                                  <a:latin typeface="Cambria Math" panose="02040503050406030204" pitchFamily="18" charset="0"/>
                                  <a:ea typeface="+mn-ea"/>
                                  <a:cs typeface="+mn-cs"/>
                                </a:rPr>
                                <m:t>+</m:t>
                              </m:r>
                              <m:r>
                                <a:rPr lang="de-DE" sz="1100" b="0" i="1">
                                  <a:solidFill>
                                    <a:schemeClr val="tx1"/>
                                  </a:solidFill>
                                  <a:effectLst/>
                                  <a:latin typeface="Cambria Math" panose="02040503050406030204" pitchFamily="18" charset="0"/>
                                  <a:ea typeface="+mn-ea"/>
                                  <a:cs typeface="+mn-cs"/>
                                </a:rPr>
                                <m:t>𝐹𝐾</m:t>
                              </m:r>
                            </m:den>
                          </m:f>
                          <m:r>
                            <a:rPr lang="de-DE" sz="1100" b="0" i="1">
                              <a:solidFill>
                                <a:schemeClr val="tx1"/>
                              </a:solidFill>
                              <a:effectLst/>
                              <a:latin typeface="Cambria Math" panose="02040503050406030204" pitchFamily="18" charset="0"/>
                              <a:ea typeface="+mn-ea"/>
                              <a:cs typeface="+mn-cs"/>
                            </a:rPr>
                            <m:t> </m:t>
                          </m:r>
                        </m:e>
                      </m:d>
                      <m:r>
                        <a:rPr lang="de-DE" sz="1100" b="0" i="1">
                          <a:latin typeface="Cambria Math" panose="02040503050406030204" pitchFamily="18" charset="0"/>
                        </a:rPr>
                        <m:t>∗ </m:t>
                      </m:r>
                      <m:d>
                        <m:dPr>
                          <m:ctrlPr>
                            <a:rPr lang="de-DE" sz="1100" b="0" i="1">
                              <a:latin typeface="Cambria Math" panose="02040503050406030204" pitchFamily="18" charset="0"/>
                            </a:rPr>
                          </m:ctrlPr>
                        </m:dPr>
                        <m:e>
                          <m:r>
                            <a:rPr lang="de-DE" sz="1100" b="0" i="1">
                              <a:latin typeface="Cambria Math" panose="02040503050406030204" pitchFamily="18" charset="0"/>
                            </a:rPr>
                            <m:t>1 −</m:t>
                          </m:r>
                          <m:r>
                            <a:rPr lang="de-DE" sz="1100" b="0" i="1">
                              <a:latin typeface="Cambria Math" panose="02040503050406030204" pitchFamily="18" charset="0"/>
                            </a:rPr>
                            <m:t>𝑆𝑡𝑒𝑢𝑒𝑟𝑠𝑎𝑡𝑧</m:t>
                          </m:r>
                        </m:e>
                      </m:d>
                    </m:num>
                    <m:den>
                      <m:r>
                        <a:rPr lang="de-DE" sz="1100" b="0" i="1">
                          <a:latin typeface="Cambria Math" panose="02040503050406030204" pitchFamily="18" charset="0"/>
                        </a:rPr>
                        <m:t>𝐸𝐾</m:t>
                      </m:r>
                    </m:den>
                  </m:f>
                </m:oMath>
              </a14:m>
              <a:endParaRPr lang="de-DE" sz="1100"/>
            </a:p>
          </xdr:txBody>
        </xdr:sp>
      </mc:Choice>
      <mc:Fallback xmlns="">
        <xdr:sp macro="" textlink="">
          <xdr:nvSpPr>
            <xdr:cNvPr id="10" name="Textfeld 9">
              <a:extLst>
                <a:ext uri="{FF2B5EF4-FFF2-40B4-BE49-F238E27FC236}">
                  <a16:creationId xmlns:a16="http://schemas.microsoft.com/office/drawing/2014/main" id="{00000000-0008-0000-0100-00000A000000}"/>
                </a:ext>
              </a:extLst>
            </xdr:cNvPr>
            <xdr:cNvSpPr txBox="1"/>
          </xdr:nvSpPr>
          <xdr:spPr>
            <a:xfrm>
              <a:off x="23043085" y="6419718"/>
              <a:ext cx="7208871" cy="315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de-DE" sz="1100" b="1" i="0">
                  <a:solidFill>
                    <a:schemeClr val="tx1"/>
                  </a:solidFill>
                  <a:effectLst/>
                  <a:latin typeface="Cambria Math" panose="02040503050406030204" pitchFamily="18" charset="0"/>
                  <a:ea typeface="+mn-ea"/>
                  <a:cs typeface="+mn-cs"/>
                </a:rPr>
                <a:t>𝑬𝑲</a:t>
              </a:r>
              <a:r>
                <a:rPr lang="de-DE" sz="1100" b="0" i="0">
                  <a:solidFill>
                    <a:schemeClr val="tx1"/>
                  </a:solidFill>
                  <a:effectLst/>
                  <a:latin typeface="Cambria Math" panose="02040503050406030204" pitchFamily="18" charset="0"/>
                  <a:ea typeface="+mn-ea"/>
                  <a:cs typeface="+mn-cs"/>
                </a:rPr>
                <a:t> 𝑅𝑒𝑛𝑑𝑖𝑡𝑒 (𝑎𝑛𝑡𝑒𝑖𝑙𝑖𝑔)</a:t>
              </a:r>
              <a:r>
                <a:rPr lang="de-DE" sz="1100" i="0" baseline="0">
                  <a:latin typeface="+mn-lt"/>
                </a:rPr>
                <a:t> </a:t>
              </a:r>
              <a:r>
                <a:rPr lang="de-DE" sz="1100" i="0">
                  <a:latin typeface="Cambria Math" panose="02040503050406030204" pitchFamily="18" charset="0"/>
                </a:rPr>
                <a:t>=</a:t>
              </a:r>
              <a:r>
                <a:rPr lang="de-DE" sz="1100" b="0" i="0">
                  <a:latin typeface="Cambria Math" panose="02040503050406030204" pitchFamily="18" charset="0"/>
                </a:rPr>
                <a:t>  ([𝐽𝑎ℎ𝑟𝑒𝑠𝑒𝑟𝑔𝑒𝑏𝑛𝑖𝑠 𝑣𝑜𝑟 𝑆𝑡𝑒𝑢𝑒𝑟𝑛 𝑢𝑛𝑑 𝑍𝑖𝑛𝑠𝑒𝑛 ∗ </a:t>
              </a:r>
              <a:r>
                <a:rPr lang="de-DE" sz="1100" b="0" i="0">
                  <a:solidFill>
                    <a:schemeClr val="tx1"/>
                  </a:solidFill>
                  <a:effectLst/>
                  <a:latin typeface="Cambria Math" panose="02040503050406030204" pitchFamily="18" charset="0"/>
                  <a:ea typeface="+mn-ea"/>
                  <a:cs typeface="+mn-cs"/>
                </a:rPr>
                <a:t>𝐸</a:t>
              </a:r>
              <a:r>
                <a:rPr lang="de-DE" sz="1100" b="0" i="0">
                  <a:solidFill>
                    <a:schemeClr val="tx1"/>
                  </a:solidFill>
                  <a:effectLst/>
                  <a:latin typeface="+mn-lt"/>
                  <a:ea typeface="+mn-ea"/>
                  <a:cs typeface="+mn-cs"/>
                </a:rPr>
                <a:t>𝐾/(𝐸𝐾+𝐹𝐾)</a:t>
              </a:r>
              <a:r>
                <a:rPr lang="de-DE" sz="1100" b="0" i="0">
                  <a:solidFill>
                    <a:schemeClr val="tx1"/>
                  </a:solidFill>
                  <a:effectLst/>
                  <a:latin typeface="Cambria Math" panose="02040503050406030204" pitchFamily="18" charset="0"/>
                  <a:ea typeface="+mn-ea"/>
                  <a:cs typeface="+mn-cs"/>
                </a:rPr>
                <a:t>  ]</a:t>
              </a:r>
              <a:r>
                <a:rPr lang="de-DE" sz="1100" b="0" i="0">
                  <a:latin typeface="Cambria Math" panose="02040503050406030204" pitchFamily="18" charset="0"/>
                </a:rPr>
                <a:t>∗ (1 −𝑆𝑡𝑒𝑢𝑒𝑟𝑠𝑎𝑡𝑧))/𝐸𝐾</a:t>
              </a:r>
              <a:endParaRPr lang="de-DE" sz="1100"/>
            </a:p>
          </xdr:txBody>
        </xdr:sp>
      </mc:Fallback>
    </mc:AlternateContent>
    <xdr:clientData/>
  </xdr:oneCellAnchor>
  <xdr:oneCellAnchor>
    <xdr:from>
      <xdr:col>13</xdr:col>
      <xdr:colOff>1069831</xdr:colOff>
      <xdr:row>29</xdr:row>
      <xdr:rowOff>93318</xdr:rowOff>
    </xdr:from>
    <xdr:ext cx="3780831" cy="245324"/>
    <mc:AlternateContent xmlns:mc="http://schemas.openxmlformats.org/markup-compatibility/2006" xmlns:a14="http://schemas.microsoft.com/office/drawing/2010/main">
      <mc:Choice Requires="a14">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6378411" y="6440778"/>
              <a:ext cx="3780831" cy="245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de-DE" sz="1100" b="0" i="1">
                      <a:solidFill>
                        <a:schemeClr val="tx1"/>
                      </a:solidFill>
                      <a:effectLst/>
                      <a:latin typeface="Cambria Math" panose="02040503050406030204" pitchFamily="18" charset="0"/>
                      <a:ea typeface="+mn-ea"/>
                      <a:cs typeface="+mn-cs"/>
                    </a:rPr>
                    <m:t>𝐴𝑓𝑡𝑒𝑟</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𝑇𝑎𝑥</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𝐶𝑜𝑎𝑠𝑡</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𝑜𝑓</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𝐹𝐾</m:t>
                  </m:r>
                  <m:r>
                    <a:rPr lang="de-DE" sz="1100" i="1">
                      <a:latin typeface="Cambria Math" panose="02040503050406030204" pitchFamily="18" charset="0"/>
                    </a:rPr>
                    <m:t>=</m:t>
                  </m:r>
                  <m:r>
                    <a:rPr lang="de-DE" sz="1100" b="0" i="1">
                      <a:latin typeface="Cambria Math" panose="02040503050406030204" pitchFamily="18" charset="0"/>
                    </a:rPr>
                    <m:t> </m:t>
                  </m:r>
                  <m:f>
                    <m:fPr>
                      <m:ctrlPr>
                        <a:rPr lang="de-DE" sz="1100" i="1">
                          <a:latin typeface="Cambria Math" panose="02040503050406030204" pitchFamily="18" charset="0"/>
                        </a:rPr>
                      </m:ctrlPr>
                    </m:fPr>
                    <m:num>
                      <m:r>
                        <a:rPr lang="de-DE" sz="1100" b="0" i="1">
                          <a:latin typeface="Cambria Math" panose="02040503050406030204" pitchFamily="18" charset="0"/>
                        </a:rPr>
                        <m:t>𝑍𝑖𝑛𝑠𝑎𝑧𝑓𝑤𝑎𝑛𝑑</m:t>
                      </m:r>
                    </m:num>
                    <m:den>
                      <m:r>
                        <a:rPr lang="de-DE" sz="1100" b="0" i="1">
                          <a:latin typeface="Cambria Math" panose="02040503050406030204" pitchFamily="18" charset="0"/>
                        </a:rPr>
                        <m:t>𝐹𝐾</m:t>
                      </m:r>
                    </m:den>
                  </m:f>
                </m:oMath>
              </a14:m>
              <a:r>
                <a:rPr lang="de-DE" sz="1100"/>
                <a:t> </a:t>
              </a:r>
              <a14:m>
                <m:oMath xmlns:m="http://schemas.openxmlformats.org/officeDocument/2006/math">
                  <m:r>
                    <a:rPr lang="de-DE" sz="1100" b="0" i="1">
                      <a:solidFill>
                        <a:schemeClr val="tx1"/>
                      </a:solidFill>
                      <a:effectLst/>
                      <a:latin typeface="Cambria Math" panose="02040503050406030204" pitchFamily="18" charset="0"/>
                      <a:ea typeface="+mn-ea"/>
                      <a:cs typeface="+mn-cs"/>
                    </a:rPr>
                    <m:t>∗(1−</m:t>
                  </m:r>
                  <m:r>
                    <a:rPr lang="de-DE" sz="1100" b="0" i="1">
                      <a:solidFill>
                        <a:schemeClr val="tx1"/>
                      </a:solidFill>
                      <a:effectLst/>
                      <a:latin typeface="Cambria Math" panose="02040503050406030204" pitchFamily="18" charset="0"/>
                      <a:ea typeface="+mn-ea"/>
                      <a:cs typeface="+mn-cs"/>
                    </a:rPr>
                    <m:t>𝑆𝑡𝑒𝑢𝑒𝑟𝑠𝑎𝑡𝑧</m:t>
                  </m:r>
                  <m:r>
                    <a:rPr lang="de-DE" sz="1100" b="0" i="1">
                      <a:solidFill>
                        <a:schemeClr val="tx1"/>
                      </a:solidFill>
                      <a:effectLst/>
                      <a:latin typeface="Cambria Math" panose="02040503050406030204" pitchFamily="18" charset="0"/>
                      <a:ea typeface="+mn-ea"/>
                      <a:cs typeface="+mn-cs"/>
                    </a:rPr>
                    <m:t>)</m:t>
                  </m:r>
                </m:oMath>
              </a14:m>
              <a:endParaRPr lang="de-DE" sz="1100" b="0" i="1">
                <a:solidFill>
                  <a:schemeClr val="tx1"/>
                </a:solidFill>
                <a:effectLst/>
                <a:latin typeface="+mn-lt"/>
                <a:ea typeface="+mn-ea"/>
                <a:cs typeface="+mn-cs"/>
              </a:endParaRPr>
            </a:p>
          </xdr:txBody>
        </xdr:sp>
      </mc:Choice>
      <mc:Fallback xmlns="">
        <xdr:sp macro="" textlink="">
          <xdr:nvSpPr>
            <xdr:cNvPr id="11" name="Textfeld 10">
              <a:extLst>
                <a:ext uri="{FF2B5EF4-FFF2-40B4-BE49-F238E27FC236}">
                  <a16:creationId xmlns:a16="http://schemas.microsoft.com/office/drawing/2014/main" id="{7D08A92C-68BD-4728-B87C-BD944A9B13E0}"/>
                </a:ext>
              </a:extLst>
            </xdr:cNvPr>
            <xdr:cNvSpPr txBox="1"/>
          </xdr:nvSpPr>
          <xdr:spPr>
            <a:xfrm>
              <a:off x="16378411" y="6440778"/>
              <a:ext cx="3780831" cy="245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de-DE" sz="1100" b="0" i="0">
                  <a:solidFill>
                    <a:schemeClr val="tx1"/>
                  </a:solidFill>
                  <a:effectLst/>
                  <a:latin typeface="Cambria Math" panose="02040503050406030204" pitchFamily="18" charset="0"/>
                  <a:ea typeface="+mn-ea"/>
                  <a:cs typeface="+mn-cs"/>
                </a:rPr>
                <a:t>𝐴𝑓𝑡𝑒𝑟 𝑇𝑎𝑥 𝐶𝑜𝑎𝑠𝑡 𝑜𝑓 𝐹𝐾</a:t>
              </a:r>
              <a:r>
                <a:rPr lang="de-DE" sz="1100" i="0">
                  <a:latin typeface="Cambria Math" panose="02040503050406030204" pitchFamily="18" charset="0"/>
                </a:rPr>
                <a:t>=</a:t>
              </a:r>
              <a:r>
                <a:rPr lang="de-DE" sz="1100" b="0" i="0">
                  <a:latin typeface="Cambria Math" panose="02040503050406030204" pitchFamily="18" charset="0"/>
                </a:rPr>
                <a:t>  𝑍𝑖𝑛𝑠𝑎𝑧𝑓𝑤𝑎𝑛𝑑/𝐹𝐾</a:t>
              </a:r>
              <a:r>
                <a:rPr lang="de-DE" sz="1100"/>
                <a:t> </a:t>
              </a:r>
              <a:r>
                <a:rPr lang="de-DE" sz="1100" b="0" i="0">
                  <a:solidFill>
                    <a:schemeClr val="tx1"/>
                  </a:solidFill>
                  <a:effectLst/>
                  <a:latin typeface="Cambria Math" panose="02040503050406030204" pitchFamily="18" charset="0"/>
                  <a:ea typeface="+mn-ea"/>
                  <a:cs typeface="+mn-cs"/>
                </a:rPr>
                <a:t>∗(1−𝑆𝑡𝑒𝑢𝑒𝑟𝑠𝑎𝑡𝑧)</a:t>
              </a:r>
              <a:endParaRPr lang="de-DE" sz="1100" b="0" i="1">
                <a:solidFill>
                  <a:schemeClr val="tx1"/>
                </a:solidFill>
                <a:effectLst/>
                <a:latin typeface="+mn-lt"/>
                <a:ea typeface="+mn-ea"/>
                <a:cs typeface="+mn-cs"/>
              </a:endParaRPr>
            </a:p>
          </xdr:txBody>
        </xdr:sp>
      </mc:Fallback>
    </mc:AlternateContent>
    <xdr:clientData/>
  </xdr:oneCellAnchor>
  <xdr:twoCellAnchor>
    <xdr:from>
      <xdr:col>11</xdr:col>
      <xdr:colOff>1874962</xdr:colOff>
      <xdr:row>28</xdr:row>
      <xdr:rowOff>98970</xdr:rowOff>
    </xdr:from>
    <xdr:to>
      <xdr:col>11</xdr:col>
      <xdr:colOff>1874962</xdr:colOff>
      <xdr:row>34</xdr:row>
      <xdr:rowOff>128380</xdr:rowOff>
    </xdr:to>
    <xdr:cxnSp macro="">
      <xdr:nvCxnSpPr>
        <xdr:cNvPr id="12" name="Gerade Verbindung mit Pfeil 11">
          <a:extLst>
            <a:ext uri="{FF2B5EF4-FFF2-40B4-BE49-F238E27FC236}">
              <a16:creationId xmlns:a16="http://schemas.microsoft.com/office/drawing/2014/main" id="{00000000-0008-0000-0100-00000C000000}"/>
            </a:ext>
          </a:extLst>
        </xdr:cNvPr>
        <xdr:cNvCxnSpPr/>
      </xdr:nvCxnSpPr>
      <xdr:spPr>
        <a:xfrm flipV="1">
          <a:off x="13655482" y="6263550"/>
          <a:ext cx="0" cy="1126690"/>
        </a:xfrm>
        <a:prstGeom prst="straightConnector1">
          <a:avLst/>
        </a:prstGeom>
        <a:ln>
          <a:solidFill>
            <a:schemeClr val="bg2">
              <a:lumMod val="2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41938</xdr:colOff>
      <xdr:row>28</xdr:row>
      <xdr:rowOff>32709</xdr:rowOff>
    </xdr:from>
    <xdr:to>
      <xdr:col>14</xdr:col>
      <xdr:colOff>41938</xdr:colOff>
      <xdr:row>29</xdr:row>
      <xdr:rowOff>93621</xdr:rowOff>
    </xdr:to>
    <xdr:cxnSp macro="">
      <xdr:nvCxnSpPr>
        <xdr:cNvPr id="13" name="Gerade Verbindung mit Pfeil 12">
          <a:extLst>
            <a:ext uri="{FF2B5EF4-FFF2-40B4-BE49-F238E27FC236}">
              <a16:creationId xmlns:a16="http://schemas.microsoft.com/office/drawing/2014/main" id="{00000000-0008-0000-0100-00000D000000}"/>
            </a:ext>
          </a:extLst>
        </xdr:cNvPr>
        <xdr:cNvCxnSpPr/>
      </xdr:nvCxnSpPr>
      <xdr:spPr>
        <a:xfrm flipV="1">
          <a:off x="16912618" y="6197289"/>
          <a:ext cx="0" cy="243792"/>
        </a:xfrm>
        <a:prstGeom prst="straightConnector1">
          <a:avLst/>
        </a:prstGeom>
        <a:ln>
          <a:solidFill>
            <a:schemeClr val="bg2">
              <a:lumMod val="2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96704</xdr:colOff>
      <xdr:row>28</xdr:row>
      <xdr:rowOff>37723</xdr:rowOff>
    </xdr:from>
    <xdr:to>
      <xdr:col>15</xdr:col>
      <xdr:colOff>101751</xdr:colOff>
      <xdr:row>29</xdr:row>
      <xdr:rowOff>73047</xdr:rowOff>
    </xdr:to>
    <xdr:cxnSp macro="">
      <xdr:nvCxnSpPr>
        <xdr:cNvPr id="14" name="Gerade Verbindung mit Pfeil 13">
          <a:extLst>
            <a:ext uri="{FF2B5EF4-FFF2-40B4-BE49-F238E27FC236}">
              <a16:creationId xmlns:a16="http://schemas.microsoft.com/office/drawing/2014/main" id="{00000000-0008-0000-0100-00000E000000}"/>
            </a:ext>
          </a:extLst>
        </xdr:cNvPr>
        <xdr:cNvCxnSpPr/>
      </xdr:nvCxnSpPr>
      <xdr:spPr>
        <a:xfrm flipH="1">
          <a:off x="18529484" y="6202303"/>
          <a:ext cx="5047" cy="218204"/>
        </a:xfrm>
        <a:prstGeom prst="straightConnector1">
          <a:avLst/>
        </a:prstGeom>
        <a:ln>
          <a:solidFill>
            <a:schemeClr val="bg2">
              <a:lumMod val="2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24213</xdr:colOff>
      <xdr:row>27</xdr:row>
      <xdr:rowOff>38954</xdr:rowOff>
    </xdr:from>
    <xdr:ext cx="1902572" cy="172227"/>
    <mc:AlternateContent xmlns:mc="http://schemas.openxmlformats.org/markup-compatibility/2006" xmlns:a14="http://schemas.microsoft.com/office/drawing/2010/main">
      <mc:Choice Requires="a14">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18456993" y="6020654"/>
              <a:ext cx="190257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de-DE" sz="1100" b="0" i="1">
                      <a:solidFill>
                        <a:schemeClr val="tx1"/>
                      </a:solidFill>
                      <a:effectLst/>
                      <a:latin typeface="Cambria Math" panose="02040503050406030204" pitchFamily="18" charset="0"/>
                      <a:ea typeface="+mn-ea"/>
                      <a:cs typeface="+mn-cs"/>
                    </a:rPr>
                    <m:t>𝑍𝑖𝑛𝑠𝑎𝑢𝑓𝑤𝑎𝑛𝑑</m:t>
                  </m:r>
                  <m:r>
                    <a:rPr lang="de-DE" sz="1100" i="1">
                      <a:latin typeface="Cambria Math" panose="02040503050406030204" pitchFamily="18" charset="0"/>
                    </a:rPr>
                    <m:t>=</m:t>
                  </m:r>
                  <m:r>
                    <a:rPr lang="de-DE" sz="1100" i="1">
                      <a:latin typeface="Cambria Math" panose="02040503050406030204" pitchFamily="18" charset="0"/>
                    </a:rPr>
                    <m:t>𝐹𝐾</m:t>
                  </m:r>
                </m:oMath>
              </a14:m>
              <a:r>
                <a:rPr lang="de-DE" sz="1100"/>
                <a:t> </a:t>
              </a:r>
              <a14:m>
                <m:oMath xmlns:m="http://schemas.openxmlformats.org/officeDocument/2006/math">
                  <m:r>
                    <a:rPr lang="de-DE" sz="1100" b="0" i="1">
                      <a:solidFill>
                        <a:schemeClr val="tx1"/>
                      </a:solidFill>
                      <a:effectLst/>
                      <a:latin typeface="Cambria Math" panose="02040503050406030204" pitchFamily="18" charset="0"/>
                      <a:ea typeface="+mn-ea"/>
                      <a:cs typeface="+mn-cs"/>
                    </a:rPr>
                    <m:t>∗</m:t>
                  </m:r>
                </m:oMath>
              </a14:m>
              <a:r>
                <a:rPr lang="de-DE" sz="1100" baseline="0"/>
                <a:t> </a:t>
              </a:r>
              <a14:m>
                <m:oMath xmlns:m="http://schemas.openxmlformats.org/officeDocument/2006/math">
                  <m:r>
                    <m:rPr>
                      <m:sty m:val="p"/>
                    </m:rPr>
                    <a:rPr lang="de-DE" sz="1100" b="0" i="1" baseline="0">
                      <a:solidFill>
                        <a:schemeClr val="tx1"/>
                      </a:solidFill>
                      <a:effectLst/>
                      <a:latin typeface="Cambria Math" panose="02040503050406030204" pitchFamily="18" charset="0"/>
                      <a:ea typeface="+mn-ea"/>
                      <a:cs typeface="+mn-cs"/>
                    </a:rPr>
                    <m:t>Z</m:t>
                  </m:r>
                  <m:r>
                    <a:rPr lang="de-DE" sz="1100" b="0" i="1" baseline="0">
                      <a:solidFill>
                        <a:schemeClr val="tx1"/>
                      </a:solidFill>
                      <a:effectLst/>
                      <a:latin typeface="Cambria Math" panose="02040503050406030204" pitchFamily="18" charset="0"/>
                      <a:ea typeface="+mn-ea"/>
                      <a:cs typeface="+mn-cs"/>
                    </a:rPr>
                    <m:t>𝑖𝑛𝑠𝑠𝑎𝑡𝑧</m:t>
                  </m:r>
                </m:oMath>
              </a14:m>
              <a:endParaRPr lang="de-DE" sz="1100" b="0" i="1">
                <a:solidFill>
                  <a:schemeClr val="tx1"/>
                </a:solidFill>
                <a:effectLst/>
                <a:latin typeface="+mn-lt"/>
                <a:ea typeface="+mn-ea"/>
                <a:cs typeface="+mn-cs"/>
              </a:endParaRPr>
            </a:p>
          </xdr:txBody>
        </xdr:sp>
      </mc:Choice>
      <mc:Fallback xmlns="">
        <xdr:sp macro="" textlink="">
          <xdr:nvSpPr>
            <xdr:cNvPr id="15" name="Textfeld 14">
              <a:extLst>
                <a:ext uri="{FF2B5EF4-FFF2-40B4-BE49-F238E27FC236}">
                  <a16:creationId xmlns:a16="http://schemas.microsoft.com/office/drawing/2014/main" id="{40D25414-319B-4A0A-B88C-3281BA098067}"/>
                </a:ext>
              </a:extLst>
            </xdr:cNvPr>
            <xdr:cNvSpPr txBox="1"/>
          </xdr:nvSpPr>
          <xdr:spPr>
            <a:xfrm>
              <a:off x="18456993" y="6020654"/>
              <a:ext cx="190257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de-DE" sz="1100" b="0" i="0">
                  <a:solidFill>
                    <a:schemeClr val="tx1"/>
                  </a:solidFill>
                  <a:effectLst/>
                  <a:latin typeface="Cambria Math" panose="02040503050406030204" pitchFamily="18" charset="0"/>
                  <a:ea typeface="+mn-ea"/>
                  <a:cs typeface="+mn-cs"/>
                </a:rPr>
                <a:t>𝑍𝑖𝑛𝑠𝑎𝑢𝑓𝑤𝑎𝑛𝑑</a:t>
              </a:r>
              <a:r>
                <a:rPr lang="de-DE" sz="1100" i="0">
                  <a:latin typeface="Cambria Math" panose="02040503050406030204" pitchFamily="18" charset="0"/>
                </a:rPr>
                <a:t>=𝐹𝐾</a:t>
              </a:r>
              <a:r>
                <a:rPr lang="de-DE" sz="1100"/>
                <a:t> </a:t>
              </a:r>
              <a:r>
                <a:rPr lang="de-DE" sz="1100" b="0" i="0">
                  <a:solidFill>
                    <a:schemeClr val="tx1"/>
                  </a:solidFill>
                  <a:effectLst/>
                  <a:latin typeface="Cambria Math" panose="02040503050406030204" pitchFamily="18" charset="0"/>
                  <a:ea typeface="+mn-ea"/>
                  <a:cs typeface="+mn-cs"/>
                </a:rPr>
                <a:t>∗</a:t>
              </a:r>
              <a:r>
                <a:rPr lang="de-DE" sz="1100" baseline="0"/>
                <a:t> </a:t>
              </a:r>
              <a:r>
                <a:rPr lang="de-DE" sz="1100" b="0" i="0" baseline="0">
                  <a:solidFill>
                    <a:schemeClr val="tx1"/>
                  </a:solidFill>
                  <a:effectLst/>
                  <a:latin typeface="Cambria Math" panose="02040503050406030204" pitchFamily="18" charset="0"/>
                  <a:ea typeface="+mn-ea"/>
                  <a:cs typeface="+mn-cs"/>
                </a:rPr>
                <a:t>Z𝑖𝑛𝑠𝑠𝑎𝑡𝑧</a:t>
              </a:r>
              <a:endParaRPr lang="de-DE" sz="1100" b="0" i="1">
                <a:solidFill>
                  <a:schemeClr val="tx1"/>
                </a:solidFill>
                <a:effectLst/>
                <a:latin typeface="+mn-lt"/>
                <a:ea typeface="+mn-ea"/>
                <a:cs typeface="+mn-cs"/>
              </a:endParaRPr>
            </a:p>
          </xdr:txBody>
        </xdr:sp>
      </mc:Fallback>
    </mc:AlternateContent>
    <xdr:clientData/>
  </xdr:oneCellAnchor>
  <xdr:oneCellAnchor>
    <xdr:from>
      <xdr:col>12</xdr:col>
      <xdr:colOff>1098331</xdr:colOff>
      <xdr:row>32</xdr:row>
      <xdr:rowOff>55337</xdr:rowOff>
    </xdr:from>
    <xdr:ext cx="5937654" cy="316112"/>
    <mc:AlternateContent xmlns:mc="http://schemas.openxmlformats.org/markup-compatibility/2006" xmlns:a14="http://schemas.microsoft.com/office/drawing/2010/main">
      <mc:Choice Requires="a14">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25042930" y="5939979"/>
              <a:ext cx="5937654" cy="3161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de-DE" sz="1100" b="1" i="1">
                      <a:solidFill>
                        <a:schemeClr val="tx1"/>
                      </a:solidFill>
                      <a:effectLst/>
                      <a:latin typeface="Cambria Math" panose="02040503050406030204" pitchFamily="18" charset="0"/>
                      <a:ea typeface="+mn-ea"/>
                      <a:cs typeface="+mn-cs"/>
                    </a:rPr>
                    <m:t>𝑭𝑲</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𝑅𝑒𝑛𝑑𝑖𝑡𝑒</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𝑎𝑛𝑡𝑒𝑖𝑙𝑖𝑔</m:t>
                  </m:r>
                  <m:r>
                    <a:rPr lang="de-DE" sz="1100" b="0" i="1">
                      <a:solidFill>
                        <a:schemeClr val="tx1"/>
                      </a:solidFill>
                      <a:effectLst/>
                      <a:latin typeface="Cambria Math" panose="02040503050406030204" pitchFamily="18" charset="0"/>
                      <a:ea typeface="+mn-ea"/>
                      <a:cs typeface="+mn-cs"/>
                    </a:rPr>
                    <m:t>)</m:t>
                  </m:r>
                </m:oMath>
              </a14:m>
              <a:r>
                <a:rPr lang="de-DE" sz="1100" i="0" baseline="0">
                  <a:latin typeface="+mn-lt"/>
                </a:rPr>
                <a:t> </a:t>
              </a:r>
              <a14:m>
                <m:oMath xmlns:m="http://schemas.openxmlformats.org/officeDocument/2006/math">
                  <m:r>
                    <a:rPr lang="de-DE" sz="1100" i="1">
                      <a:latin typeface="Cambria Math" panose="02040503050406030204" pitchFamily="18" charset="0"/>
                    </a:rPr>
                    <m:t>=</m:t>
                  </m:r>
                  <m:r>
                    <a:rPr lang="de-DE" sz="1100" b="0" i="1">
                      <a:latin typeface="Cambria Math" panose="02040503050406030204" pitchFamily="18" charset="0"/>
                    </a:rPr>
                    <m:t> </m:t>
                  </m:r>
                  <m:f>
                    <m:fPr>
                      <m:ctrlPr>
                        <a:rPr lang="de-DE" sz="1100" i="1">
                          <a:latin typeface="Cambria Math" panose="02040503050406030204" pitchFamily="18" charset="0"/>
                        </a:rPr>
                      </m:ctrlPr>
                    </m:fPr>
                    <m:num>
                      <m:d>
                        <m:dPr>
                          <m:begChr m:val="["/>
                          <m:endChr m:val="]"/>
                          <m:ctrlPr>
                            <a:rPr lang="de-DE" sz="1100" b="0" i="1">
                              <a:solidFill>
                                <a:schemeClr val="tx1"/>
                              </a:solidFill>
                              <a:effectLst/>
                              <a:latin typeface="Cambria Math" panose="02040503050406030204" pitchFamily="18" charset="0"/>
                              <a:ea typeface="+mn-ea"/>
                              <a:cs typeface="+mn-cs"/>
                            </a:rPr>
                          </m:ctrlPr>
                        </m:dPr>
                        <m:e>
                          <m:r>
                            <a:rPr lang="de-DE" sz="1100" b="0" i="1">
                              <a:solidFill>
                                <a:schemeClr val="tx1"/>
                              </a:solidFill>
                              <a:effectLst/>
                              <a:latin typeface="Cambria Math" panose="02040503050406030204" pitchFamily="18" charset="0"/>
                              <a:ea typeface="+mn-ea"/>
                              <a:cs typeface="+mn-cs"/>
                            </a:rPr>
                            <m:t>𝐽𝑎h𝑟𝑒𝑠𝑒𝑟𝑔𝑒𝑏𝑛𝑖𝑠</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𝑣𝑜𝑟</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𝑆𝑡𝑒𝑢𝑒𝑟𝑛</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𝑢𝑛𝑑</m:t>
                          </m:r>
                          <m:r>
                            <a:rPr lang="de-DE" sz="1100" b="0" i="1">
                              <a:solidFill>
                                <a:schemeClr val="tx1"/>
                              </a:solidFill>
                              <a:effectLst/>
                              <a:latin typeface="Cambria Math" panose="02040503050406030204" pitchFamily="18" charset="0"/>
                              <a:ea typeface="+mn-ea"/>
                              <a:cs typeface="+mn-cs"/>
                            </a:rPr>
                            <m:t> </m:t>
                          </m:r>
                          <m:r>
                            <a:rPr lang="de-DE" sz="1100" b="0" i="1">
                              <a:solidFill>
                                <a:schemeClr val="tx1"/>
                              </a:solidFill>
                              <a:effectLst/>
                              <a:latin typeface="Cambria Math" panose="02040503050406030204" pitchFamily="18" charset="0"/>
                              <a:ea typeface="+mn-ea"/>
                              <a:cs typeface="+mn-cs"/>
                            </a:rPr>
                            <m:t>𝑍𝑖𝑛𝑠𝑒𝑛</m:t>
                          </m:r>
                          <m:r>
                            <a:rPr lang="de-DE" sz="1100" b="0" i="1">
                              <a:solidFill>
                                <a:schemeClr val="tx1"/>
                              </a:solidFill>
                              <a:effectLst/>
                              <a:latin typeface="Cambria Math" panose="02040503050406030204" pitchFamily="18" charset="0"/>
                              <a:ea typeface="+mn-ea"/>
                              <a:cs typeface="+mn-cs"/>
                            </a:rPr>
                            <m:t> ∗  </m:t>
                          </m:r>
                          <m:f>
                            <m:fPr>
                              <m:ctrlPr>
                                <a:rPr lang="de-DE" sz="1100" b="0" i="1">
                                  <a:solidFill>
                                    <a:schemeClr val="tx1"/>
                                  </a:solidFill>
                                  <a:effectLst/>
                                  <a:latin typeface="Cambria Math" panose="02040503050406030204" pitchFamily="18" charset="0"/>
                                  <a:ea typeface="+mn-ea"/>
                                  <a:cs typeface="+mn-cs"/>
                                </a:rPr>
                              </m:ctrlPr>
                            </m:fPr>
                            <m:num>
                              <m:r>
                                <a:rPr lang="de-DE" sz="1100" b="0" i="1">
                                  <a:solidFill>
                                    <a:schemeClr val="tx1"/>
                                  </a:solidFill>
                                  <a:effectLst/>
                                  <a:latin typeface="Cambria Math" panose="02040503050406030204" pitchFamily="18" charset="0"/>
                                  <a:ea typeface="+mn-ea"/>
                                  <a:cs typeface="+mn-cs"/>
                                </a:rPr>
                                <m:t>𝐹𝐾</m:t>
                              </m:r>
                            </m:num>
                            <m:den>
                              <m:r>
                                <a:rPr lang="de-DE" sz="1100" b="0" i="1">
                                  <a:solidFill>
                                    <a:schemeClr val="tx1"/>
                                  </a:solidFill>
                                  <a:effectLst/>
                                  <a:latin typeface="Cambria Math" panose="02040503050406030204" pitchFamily="18" charset="0"/>
                                  <a:ea typeface="+mn-ea"/>
                                  <a:cs typeface="+mn-cs"/>
                                </a:rPr>
                                <m:t>𝐸𝐾</m:t>
                              </m:r>
                              <m:r>
                                <a:rPr lang="de-DE" sz="1100" b="0" i="1">
                                  <a:solidFill>
                                    <a:schemeClr val="tx1"/>
                                  </a:solidFill>
                                  <a:effectLst/>
                                  <a:latin typeface="Cambria Math" panose="02040503050406030204" pitchFamily="18" charset="0"/>
                                  <a:ea typeface="+mn-ea"/>
                                  <a:cs typeface="+mn-cs"/>
                                </a:rPr>
                                <m:t>+</m:t>
                              </m:r>
                              <m:r>
                                <a:rPr lang="de-DE" sz="1100" b="0" i="1">
                                  <a:solidFill>
                                    <a:schemeClr val="tx1"/>
                                  </a:solidFill>
                                  <a:effectLst/>
                                  <a:latin typeface="Cambria Math" panose="02040503050406030204" pitchFamily="18" charset="0"/>
                                  <a:ea typeface="+mn-ea"/>
                                  <a:cs typeface="+mn-cs"/>
                                </a:rPr>
                                <m:t>𝐹𝐾</m:t>
                              </m:r>
                            </m:den>
                          </m:f>
                          <m:r>
                            <a:rPr lang="de-DE" sz="1100" b="0" i="1">
                              <a:solidFill>
                                <a:schemeClr val="tx1"/>
                              </a:solidFill>
                              <a:effectLst/>
                              <a:latin typeface="Cambria Math" panose="02040503050406030204" pitchFamily="18" charset="0"/>
                              <a:ea typeface="+mn-ea"/>
                              <a:cs typeface="+mn-cs"/>
                            </a:rPr>
                            <m:t> </m:t>
                          </m:r>
                        </m:e>
                      </m:d>
                      <m:r>
                        <a:rPr lang="de-DE" sz="1100" b="0" i="1">
                          <a:latin typeface="Cambria Math" panose="02040503050406030204" pitchFamily="18" charset="0"/>
                        </a:rPr>
                        <m:t>∗ </m:t>
                      </m:r>
                      <m:d>
                        <m:dPr>
                          <m:ctrlPr>
                            <a:rPr lang="de-DE" sz="1100" b="0" i="1">
                              <a:latin typeface="Cambria Math" panose="02040503050406030204" pitchFamily="18" charset="0"/>
                            </a:rPr>
                          </m:ctrlPr>
                        </m:dPr>
                        <m:e>
                          <m:r>
                            <a:rPr lang="de-DE" sz="1100" b="0" i="1">
                              <a:latin typeface="Cambria Math" panose="02040503050406030204" pitchFamily="18" charset="0"/>
                            </a:rPr>
                            <m:t>1 −</m:t>
                          </m:r>
                          <m:r>
                            <a:rPr lang="de-DE" sz="1100" b="0" i="1">
                              <a:latin typeface="Cambria Math" panose="02040503050406030204" pitchFamily="18" charset="0"/>
                            </a:rPr>
                            <m:t>𝑆𝑡𝑒𝑢𝑒𝑟𝑠𝑎𝑡𝑧</m:t>
                          </m:r>
                        </m:e>
                      </m:d>
                    </m:num>
                    <m:den>
                      <m:r>
                        <a:rPr lang="de-DE" sz="1100" b="0" i="1">
                          <a:latin typeface="Cambria Math" panose="02040503050406030204" pitchFamily="18" charset="0"/>
                        </a:rPr>
                        <m:t>𝐹𝐾</m:t>
                      </m:r>
                    </m:den>
                  </m:f>
                </m:oMath>
              </a14:m>
              <a:endParaRPr lang="de-DE" sz="1100"/>
            </a:p>
          </xdr:txBody>
        </xdr:sp>
      </mc:Choice>
      <mc:Fallback xmlns="">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25042930" y="5939979"/>
              <a:ext cx="5937654" cy="3161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de-DE" sz="1100" b="1" i="0">
                  <a:solidFill>
                    <a:schemeClr val="tx1"/>
                  </a:solidFill>
                  <a:effectLst/>
                  <a:latin typeface="Cambria Math" panose="02040503050406030204" pitchFamily="18" charset="0"/>
                  <a:ea typeface="+mn-ea"/>
                  <a:cs typeface="+mn-cs"/>
                </a:rPr>
                <a:t>𝑭𝑲</a:t>
              </a:r>
              <a:r>
                <a:rPr lang="de-DE" sz="1100" b="0" i="0">
                  <a:solidFill>
                    <a:schemeClr val="tx1"/>
                  </a:solidFill>
                  <a:effectLst/>
                  <a:latin typeface="Cambria Math" panose="02040503050406030204" pitchFamily="18" charset="0"/>
                  <a:ea typeface="+mn-ea"/>
                  <a:cs typeface="+mn-cs"/>
                </a:rPr>
                <a:t> 𝑅𝑒𝑛𝑑𝑖𝑡𝑒 (𝑎𝑛𝑡𝑒𝑖𝑙𝑖𝑔)</a:t>
              </a:r>
              <a:r>
                <a:rPr lang="de-DE" sz="1100" i="0" baseline="0">
                  <a:latin typeface="+mn-lt"/>
                </a:rPr>
                <a:t> </a:t>
              </a:r>
              <a:r>
                <a:rPr lang="de-DE" sz="1100" i="0">
                  <a:latin typeface="Cambria Math" panose="02040503050406030204" pitchFamily="18" charset="0"/>
                </a:rPr>
                <a:t>=</a:t>
              </a:r>
              <a:r>
                <a:rPr lang="de-DE" sz="1100" b="0" i="0">
                  <a:latin typeface="Cambria Math" panose="02040503050406030204" pitchFamily="18" charset="0"/>
                </a:rPr>
                <a:t> </a:t>
              </a:r>
              <a:r>
                <a:rPr lang="de-DE" sz="1100" b="0" i="0">
                  <a:solidFill>
                    <a:schemeClr val="tx1"/>
                  </a:solidFill>
                  <a:effectLst/>
                  <a:latin typeface="+mn-lt"/>
                  <a:ea typeface="+mn-ea"/>
                  <a:cs typeface="+mn-cs"/>
                </a:rPr>
                <a:t> </a:t>
              </a:r>
              <a:r>
                <a:rPr lang="de-DE" sz="1100" b="0" i="0">
                  <a:solidFill>
                    <a:schemeClr val="tx1"/>
                  </a:solidFill>
                  <a:effectLst/>
                  <a:latin typeface="Cambria Math" panose="02040503050406030204" pitchFamily="18" charset="0"/>
                  <a:ea typeface="+mn-ea"/>
                  <a:cs typeface="+mn-cs"/>
                </a:rPr>
                <a:t>(</a:t>
              </a:r>
              <a:r>
                <a:rPr lang="de-DE" sz="1100" b="0" i="0">
                  <a:solidFill>
                    <a:schemeClr val="tx1"/>
                  </a:solidFill>
                  <a:effectLst/>
                  <a:latin typeface="+mn-lt"/>
                  <a:ea typeface="+mn-ea"/>
                  <a:cs typeface="+mn-cs"/>
                </a:rPr>
                <a:t>[𝐽𝑎ℎ𝑟𝑒𝑠𝑒𝑟𝑔𝑒𝑏𝑛𝑖𝑠 𝑣𝑜𝑟 𝑆𝑡𝑒𝑢𝑒𝑟𝑛 𝑢𝑛𝑑 𝑍𝑖𝑛𝑠𝑒𝑛</a:t>
              </a:r>
              <a:r>
                <a:rPr lang="de-DE" sz="1100" b="0" i="0">
                  <a:solidFill>
                    <a:schemeClr val="tx1"/>
                  </a:solidFill>
                  <a:effectLst/>
                  <a:latin typeface="Cambria Math" panose="02040503050406030204" pitchFamily="18" charset="0"/>
                  <a:ea typeface="+mn-ea"/>
                  <a:cs typeface="+mn-cs"/>
                </a:rPr>
                <a:t> </a:t>
              </a:r>
              <a:r>
                <a:rPr lang="de-DE" sz="1100" b="0" i="0">
                  <a:solidFill>
                    <a:schemeClr val="tx1"/>
                  </a:solidFill>
                  <a:effectLst/>
                  <a:latin typeface="+mn-lt"/>
                  <a:ea typeface="+mn-ea"/>
                  <a:cs typeface="+mn-cs"/>
                </a:rPr>
                <a:t>∗ </a:t>
              </a:r>
              <a:r>
                <a:rPr lang="de-DE" sz="1100" b="0" i="0">
                  <a:solidFill>
                    <a:schemeClr val="tx1"/>
                  </a:solidFill>
                  <a:effectLst/>
                  <a:latin typeface="Cambria Math" panose="02040503050406030204" pitchFamily="18" charset="0"/>
                  <a:ea typeface="+mn-ea"/>
                  <a:cs typeface="+mn-cs"/>
                </a:rPr>
                <a:t> </a:t>
              </a:r>
              <a:r>
                <a:rPr lang="de-DE" sz="1100" b="0" i="0">
                  <a:solidFill>
                    <a:schemeClr val="tx1"/>
                  </a:solidFill>
                  <a:effectLst/>
                  <a:latin typeface="+mn-lt"/>
                  <a:ea typeface="+mn-ea"/>
                  <a:cs typeface="+mn-cs"/>
                </a:rPr>
                <a:t>𝐹𝐾/(𝐸𝐾+𝐹𝐾)  ]</a:t>
              </a:r>
              <a:r>
                <a:rPr lang="de-DE" sz="1100" b="0" i="0">
                  <a:latin typeface="Cambria Math" panose="02040503050406030204" pitchFamily="18" charset="0"/>
                </a:rPr>
                <a:t>∗ (1 −𝑆𝑡𝑒𝑢𝑒𝑟𝑠𝑎𝑡𝑧))/𝐹𝐾</a:t>
              </a:r>
              <a:endParaRPr lang="de-DE" sz="1100"/>
            </a:p>
          </xdr:txBody>
        </xdr:sp>
      </mc:Fallback>
    </mc:AlternateContent>
    <xdr:clientData/>
  </xdr:oneCellAnchor>
  <xdr:twoCellAnchor>
    <xdr:from>
      <xdr:col>12</xdr:col>
      <xdr:colOff>1547572</xdr:colOff>
      <xdr:row>28</xdr:row>
      <xdr:rowOff>81576</xdr:rowOff>
    </xdr:from>
    <xdr:to>
      <xdr:col>12</xdr:col>
      <xdr:colOff>1555025</xdr:colOff>
      <xdr:row>31</xdr:row>
      <xdr:rowOff>178076</xdr:rowOff>
    </xdr:to>
    <xdr:cxnSp macro="">
      <xdr:nvCxnSpPr>
        <xdr:cNvPr id="17" name="Gerade Verbindung mit Pfeil 16">
          <a:extLst>
            <a:ext uri="{FF2B5EF4-FFF2-40B4-BE49-F238E27FC236}">
              <a16:creationId xmlns:a16="http://schemas.microsoft.com/office/drawing/2014/main" id="{00000000-0008-0000-0100-000011000000}"/>
            </a:ext>
          </a:extLst>
        </xdr:cNvPr>
        <xdr:cNvCxnSpPr/>
      </xdr:nvCxnSpPr>
      <xdr:spPr>
        <a:xfrm flipV="1">
          <a:off x="15294052" y="6246156"/>
          <a:ext cx="7453" cy="645140"/>
        </a:xfrm>
        <a:prstGeom prst="straightConnector1">
          <a:avLst/>
        </a:prstGeom>
        <a:ln>
          <a:solidFill>
            <a:schemeClr val="bg2">
              <a:lumMod val="2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4564380</xdr:colOff>
          <xdr:row>25</xdr:row>
          <xdr:rowOff>30480</xdr:rowOff>
        </xdr:from>
        <xdr:to>
          <xdr:col>10</xdr:col>
          <xdr:colOff>15240</xdr:colOff>
          <xdr:row>27</xdr:row>
          <xdr:rowOff>38100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Auf Defaultwerte zurücksetzen</a:t>
              </a:r>
            </a:p>
            <a:p>
              <a:pPr algn="ctr" rtl="0">
                <a:defRPr sz="1000"/>
              </a:pPr>
              <a:endParaRPr lang="de-DE" sz="1100" b="0" i="0" u="none" strike="noStrike" baseline="0">
                <a:solidFill>
                  <a:srgbClr val="000000"/>
                </a:solidFill>
                <a:latin typeface="Calibri"/>
                <a:ea typeface="Calibri"/>
                <a:cs typeface="Calibri"/>
              </a:endParaRPr>
            </a:p>
            <a:p>
              <a:pPr algn="ctr" rtl="0">
                <a:defRPr sz="1000"/>
              </a:pPr>
              <a:endParaRPr lang="de-DE"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xdr:from>
      <xdr:col>1</xdr:col>
      <xdr:colOff>35169</xdr:colOff>
      <xdr:row>5</xdr:row>
      <xdr:rowOff>11723</xdr:rowOff>
    </xdr:from>
    <xdr:to>
      <xdr:col>5</xdr:col>
      <xdr:colOff>93785</xdr:colOff>
      <xdr:row>26</xdr:row>
      <xdr:rowOff>175846</xdr:rowOff>
    </xdr:to>
    <xdr:sp macro="" textlink="">
      <xdr:nvSpPr>
        <xdr:cNvPr id="19" name="Rechteck: abgerundete Ecken 18">
          <a:extLst>
            <a:ext uri="{FF2B5EF4-FFF2-40B4-BE49-F238E27FC236}">
              <a16:creationId xmlns:a16="http://schemas.microsoft.com/office/drawing/2014/main" id="{00000000-0008-0000-0100-000013000000}"/>
            </a:ext>
          </a:extLst>
        </xdr:cNvPr>
        <xdr:cNvSpPr/>
      </xdr:nvSpPr>
      <xdr:spPr>
        <a:xfrm>
          <a:off x="832338" y="949569"/>
          <a:ext cx="8405447" cy="4103077"/>
        </a:xfrm>
        <a:prstGeom prst="roundRect">
          <a:avLst/>
        </a:prstGeom>
        <a:noFill/>
        <a:ln w="1905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xdr:from>
          <xdr:col>6</xdr:col>
          <xdr:colOff>45720</xdr:colOff>
          <xdr:row>25</xdr:row>
          <xdr:rowOff>45720</xdr:rowOff>
        </xdr:from>
        <xdr:to>
          <xdr:col>6</xdr:col>
          <xdr:colOff>4008120</xdr:colOff>
          <xdr:row>27</xdr:row>
          <xdr:rowOff>38100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Bedienungshilfe aufrufen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0.72735</cdr:x>
      <cdr:y>0.69506</cdr:y>
    </cdr:from>
    <cdr:to>
      <cdr:x>0.7649</cdr:x>
      <cdr:y>0.73889</cdr:y>
    </cdr:to>
    <cdr:sp macro="" textlink="">
      <cdr:nvSpPr>
        <cdr:cNvPr id="3" name="Minuszeichen 2">
          <a:extLst xmlns:a="http://schemas.openxmlformats.org/drawingml/2006/main">
            <a:ext uri="{FF2B5EF4-FFF2-40B4-BE49-F238E27FC236}">
              <a16:creationId xmlns:a16="http://schemas.microsoft.com/office/drawing/2014/main" id="{B5492E19-687B-49B2-0B1A-17CF09A74EBA}"/>
            </a:ext>
          </a:extLst>
        </cdr:cNvPr>
        <cdr:cNvSpPr/>
      </cdr:nvSpPr>
      <cdr:spPr>
        <a:xfrm xmlns:a="http://schemas.openxmlformats.org/drawingml/2006/main">
          <a:off x="5077201" y="2715799"/>
          <a:ext cx="262112" cy="171257"/>
        </a:xfrm>
        <a:prstGeom xmlns:a="http://schemas.openxmlformats.org/drawingml/2006/main" prst="mathMinus">
          <a:avLst>
            <a:gd name="adj1" fmla="val 19002"/>
          </a:avLst>
        </a:prstGeom>
        <a:solidFill xmlns:a="http://schemas.openxmlformats.org/drawingml/2006/main">
          <a:schemeClr val="bg1">
            <a:lumMod val="65000"/>
          </a:schemeClr>
        </a:solidFill>
        <a:ln xmlns:a="http://schemas.openxmlformats.org/drawingml/2006/main">
          <a:solidFill>
            <a:schemeClr val="bg1">
              <a:lumMod val="65000"/>
            </a:schemeClr>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0.21535</cdr:x>
      <cdr:y>0.69698</cdr:y>
    </cdr:from>
    <cdr:to>
      <cdr:x>0.26987</cdr:x>
      <cdr:y>0.75571</cdr:y>
    </cdr:to>
    <cdr:sp macro="" textlink="">
      <cdr:nvSpPr>
        <cdr:cNvPr id="4" name="Gleich 3">
          <a:extLst xmlns:a="http://schemas.openxmlformats.org/drawingml/2006/main">
            <a:ext uri="{FF2B5EF4-FFF2-40B4-BE49-F238E27FC236}">
              <a16:creationId xmlns:a16="http://schemas.microsoft.com/office/drawing/2014/main" id="{66506CAB-E705-F197-11C5-C77D2CB60A12}"/>
            </a:ext>
          </a:extLst>
        </cdr:cNvPr>
        <cdr:cNvSpPr/>
      </cdr:nvSpPr>
      <cdr:spPr>
        <a:xfrm xmlns:a="http://schemas.openxmlformats.org/drawingml/2006/main">
          <a:off x="1347717" y="2627299"/>
          <a:ext cx="341204" cy="221385"/>
        </a:xfrm>
        <a:prstGeom xmlns:a="http://schemas.openxmlformats.org/drawingml/2006/main" prst="mathEqual">
          <a:avLst>
            <a:gd name="adj1" fmla="val 11502"/>
            <a:gd name="adj2" fmla="val 30785"/>
          </a:avLst>
        </a:prstGeom>
        <a:solidFill xmlns:a="http://schemas.openxmlformats.org/drawingml/2006/main">
          <a:schemeClr val="bg1">
            <a:lumMod val="65000"/>
          </a:schemeClr>
        </a:solidFill>
        <a:ln xmlns:a="http://schemas.openxmlformats.org/drawingml/2006/main">
          <a:solidFill>
            <a:schemeClr val="bg1">
              <a:lumMod val="65000"/>
            </a:schemeClr>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790589</xdr:colOff>
      <xdr:row>5</xdr:row>
      <xdr:rowOff>75127</xdr:rowOff>
    </xdr:from>
    <xdr:to>
      <xdr:col>5</xdr:col>
      <xdr:colOff>9897</xdr:colOff>
      <xdr:row>27</xdr:row>
      <xdr:rowOff>75127</xdr:rowOff>
    </xdr:to>
    <xdr:graphicFrame macro="">
      <xdr:nvGraphicFramePr>
        <xdr:cNvPr id="2" name="Diagramm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502920</xdr:colOff>
          <xdr:row>6</xdr:row>
          <xdr:rowOff>38100</xdr:rowOff>
        </xdr:from>
        <xdr:to>
          <xdr:col>8</xdr:col>
          <xdr:colOff>144780</xdr:colOff>
          <xdr:row>7</xdr:row>
          <xdr:rowOff>182880</xdr:rowOff>
        </xdr:to>
        <xdr:sp macro="" textlink="">
          <xdr:nvSpPr>
            <xdr:cNvPr id="6145" name="Scroll Bar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0</xdr:colOff>
      <xdr:row>1</xdr:row>
      <xdr:rowOff>74061</xdr:rowOff>
    </xdr:from>
    <xdr:to>
      <xdr:col>5</xdr:col>
      <xdr:colOff>77305</xdr:colOff>
      <xdr:row>3</xdr:row>
      <xdr:rowOff>111280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795130" y="261800"/>
          <a:ext cx="9199218" cy="412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2400">
              <a:solidFill>
                <a:schemeClr val="bg2">
                  <a:lumMod val="25000"/>
                </a:schemeClr>
              </a:solidFill>
            </a:rPr>
            <a:t>Operating Leverage </a:t>
          </a:r>
        </a:p>
      </xdr:txBody>
    </xdr:sp>
    <xdr:clientData/>
  </xdr:twoCellAnchor>
  <mc:AlternateContent xmlns:mc="http://schemas.openxmlformats.org/markup-compatibility/2006">
    <mc:Choice xmlns:a14="http://schemas.microsoft.com/office/drawing/2010/main" Requires="a14">
      <xdr:twoCellAnchor editAs="oneCell">
        <xdr:from>
          <xdr:col>6</xdr:col>
          <xdr:colOff>502920</xdr:colOff>
          <xdr:row>10</xdr:row>
          <xdr:rowOff>38100</xdr:rowOff>
        </xdr:from>
        <xdr:to>
          <xdr:col>8</xdr:col>
          <xdr:colOff>144780</xdr:colOff>
          <xdr:row>12</xdr:row>
          <xdr:rowOff>0</xdr:rowOff>
        </xdr:to>
        <xdr:sp macro="" textlink="">
          <xdr:nvSpPr>
            <xdr:cNvPr id="6146" name="Scroll Bar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19050</xdr:colOff>
      <xdr:row>1</xdr:row>
      <xdr:rowOff>121686</xdr:rowOff>
    </xdr:from>
    <xdr:to>
      <xdr:col>23</xdr:col>
      <xdr:colOff>38101</xdr:colOff>
      <xdr:row>3</xdr:row>
      <xdr:rowOff>158905</xdr:rowOff>
    </xdr:to>
    <xdr:sp macro="" textlink="">
      <xdr:nvSpPr>
        <xdr:cNvPr id="4" name="Textfeld 3">
          <a:extLst>
            <a:ext uri="{FF2B5EF4-FFF2-40B4-BE49-F238E27FC236}">
              <a16:creationId xmlns:a16="http://schemas.microsoft.com/office/drawing/2014/main" id="{00000000-0008-0000-0200-000004000000}"/>
            </a:ext>
          </a:extLst>
        </xdr:cNvPr>
        <xdr:cNvSpPr txBox="1"/>
      </xdr:nvSpPr>
      <xdr:spPr>
        <a:xfrm>
          <a:off x="11220450" y="664611"/>
          <a:ext cx="7839076" cy="399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de-DE" sz="2400">
              <a:solidFill>
                <a:schemeClr val="bg2">
                  <a:lumMod val="25000"/>
                </a:schemeClr>
              </a:solidFill>
            </a:rPr>
            <a:t>Berechnungen </a:t>
          </a:r>
          <a:r>
            <a:rPr lang="de-DE" sz="2400">
              <a:solidFill>
                <a:schemeClr val="bg2">
                  <a:lumMod val="25000"/>
                </a:schemeClr>
              </a:solidFill>
              <a:latin typeface="+mn-lt"/>
              <a:ea typeface="+mn-ea"/>
              <a:cs typeface="+mn-cs"/>
            </a:rPr>
            <a:t>Operating Leverage </a:t>
          </a:r>
        </a:p>
        <a:p>
          <a:pPr algn="ctr"/>
          <a:endParaRPr lang="de-DE" sz="2400">
            <a:solidFill>
              <a:schemeClr val="tx1">
                <a:lumMod val="85000"/>
                <a:lumOff val="15000"/>
              </a:schemeClr>
            </a:solidFill>
          </a:endParaRPr>
        </a:p>
      </xdr:txBody>
    </xdr:sp>
    <xdr:clientData/>
  </xdr:twoCellAnchor>
  <xdr:twoCellAnchor>
    <xdr:from>
      <xdr:col>0</xdr:col>
      <xdr:colOff>739913</xdr:colOff>
      <xdr:row>4</xdr:row>
      <xdr:rowOff>171718</xdr:rowOff>
    </xdr:from>
    <xdr:to>
      <xdr:col>5</xdr:col>
      <xdr:colOff>22087</xdr:colOff>
      <xdr:row>27</xdr:row>
      <xdr:rowOff>64394</xdr:rowOff>
    </xdr:to>
    <xdr:sp macro="" textlink="">
      <xdr:nvSpPr>
        <xdr:cNvPr id="5" name="Rechteck: abgerundete Ecken 4">
          <a:extLst>
            <a:ext uri="{FF2B5EF4-FFF2-40B4-BE49-F238E27FC236}">
              <a16:creationId xmlns:a16="http://schemas.microsoft.com/office/drawing/2014/main" id="{00000000-0008-0000-0200-000005000000}"/>
            </a:ext>
          </a:extLst>
        </xdr:cNvPr>
        <xdr:cNvSpPr/>
      </xdr:nvSpPr>
      <xdr:spPr>
        <a:xfrm>
          <a:off x="739913" y="901521"/>
          <a:ext cx="9198906" cy="4089042"/>
        </a:xfrm>
        <a:prstGeom prst="roundRect">
          <a:avLst/>
        </a:prstGeom>
        <a:noFill/>
        <a:ln w="1905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6</xdr:col>
          <xdr:colOff>4518660</xdr:colOff>
          <xdr:row>18</xdr:row>
          <xdr:rowOff>15240</xdr:rowOff>
        </xdr:from>
        <xdr:to>
          <xdr:col>9</xdr:col>
          <xdr:colOff>403860</xdr:colOff>
          <xdr:row>20</xdr:row>
          <xdr:rowOff>22860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Auf Defaultwerte zurücksetzen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982980</xdr:colOff>
          <xdr:row>18</xdr:row>
          <xdr:rowOff>0</xdr:rowOff>
        </xdr:from>
        <xdr:to>
          <xdr:col>6</xdr:col>
          <xdr:colOff>3954780</xdr:colOff>
          <xdr:row>20</xdr:row>
          <xdr:rowOff>15240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Bedienungshilfe aufrufen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502920</xdr:colOff>
          <xdr:row>14</xdr:row>
          <xdr:rowOff>45720</xdr:rowOff>
        </xdr:from>
        <xdr:to>
          <xdr:col>8</xdr:col>
          <xdr:colOff>137160</xdr:colOff>
          <xdr:row>16</xdr:row>
          <xdr:rowOff>7620</xdr:rowOff>
        </xdr:to>
        <xdr:sp macro="" textlink="">
          <xdr:nvSpPr>
            <xdr:cNvPr id="6151" name="Scroll Bar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0F384-D441-4D67-91EC-AD740DF6B868}">
  <sheetPr codeName="Tabelle1"/>
  <dimension ref="C8:O22"/>
  <sheetViews>
    <sheetView showGridLines="0" tabSelected="1" zoomScale="82" workbookViewId="0"/>
  </sheetViews>
  <sheetFormatPr baseColWidth="10" defaultRowHeight="14.4" x14ac:dyDescent="0.3"/>
  <cols>
    <col min="1" max="1" width="22.6640625" style="4" customWidth="1"/>
    <col min="2" max="8" width="11.5546875" style="4"/>
    <col min="9" max="9" width="3.44140625" style="4" customWidth="1"/>
    <col min="10" max="16384" width="11.5546875" style="4"/>
  </cols>
  <sheetData>
    <row r="8" spans="3:15" x14ac:dyDescent="0.3">
      <c r="I8" s="72" t="s">
        <v>24</v>
      </c>
    </row>
    <row r="9" spans="3:15" x14ac:dyDescent="0.3">
      <c r="H9" s="69"/>
    </row>
    <row r="14" spans="3:15" ht="124.8" customHeight="1" x14ac:dyDescent="0.3">
      <c r="C14" s="75" t="s">
        <v>26</v>
      </c>
      <c r="D14" s="75"/>
      <c r="E14" s="75"/>
      <c r="F14" s="75"/>
      <c r="G14" s="75"/>
      <c r="H14" s="75"/>
      <c r="J14" s="75" t="s">
        <v>25</v>
      </c>
      <c r="K14" s="75"/>
      <c r="L14" s="75"/>
      <c r="M14" s="75"/>
      <c r="N14" s="75"/>
      <c r="O14" s="75"/>
    </row>
    <row r="15" spans="3:15" x14ac:dyDescent="0.3">
      <c r="I15" s="28"/>
      <c r="J15" s="28"/>
      <c r="K15" s="28"/>
      <c r="L15" s="28"/>
      <c r="M15" s="28"/>
      <c r="N15" s="28"/>
    </row>
    <row r="16" spans="3:15" x14ac:dyDescent="0.3">
      <c r="C16" s="76" t="s">
        <v>27</v>
      </c>
      <c r="D16" s="76"/>
      <c r="E16" s="76"/>
      <c r="F16" s="76"/>
      <c r="G16" s="76"/>
      <c r="H16" s="76"/>
      <c r="I16" s="76"/>
      <c r="J16" s="76"/>
      <c r="K16" s="76"/>
      <c r="L16" s="76"/>
      <c r="M16" s="76"/>
      <c r="N16" s="76"/>
      <c r="O16" s="76"/>
    </row>
    <row r="17" spans="3:15" x14ac:dyDescent="0.3">
      <c r="C17" s="76"/>
      <c r="D17" s="76"/>
      <c r="E17" s="76"/>
      <c r="F17" s="76"/>
      <c r="G17" s="76"/>
      <c r="H17" s="76"/>
      <c r="I17" s="76"/>
      <c r="J17" s="76"/>
      <c r="K17" s="76"/>
      <c r="L17" s="76"/>
      <c r="M17" s="76"/>
      <c r="N17" s="76"/>
      <c r="O17" s="76"/>
    </row>
    <row r="18" spans="3:15" x14ac:dyDescent="0.3">
      <c r="C18" s="76"/>
      <c r="D18" s="76"/>
      <c r="E18" s="76"/>
      <c r="F18" s="76"/>
      <c r="G18" s="76"/>
      <c r="H18" s="76"/>
      <c r="I18" s="76"/>
      <c r="J18" s="76"/>
      <c r="K18" s="76"/>
      <c r="L18" s="76"/>
      <c r="M18" s="76"/>
      <c r="N18" s="76"/>
      <c r="O18" s="76"/>
    </row>
    <row r="19" spans="3:15" x14ac:dyDescent="0.3">
      <c r="C19" s="76"/>
      <c r="D19" s="76"/>
      <c r="E19" s="76"/>
      <c r="F19" s="76"/>
      <c r="G19" s="76"/>
      <c r="H19" s="76"/>
      <c r="I19" s="76"/>
      <c r="J19" s="76"/>
      <c r="K19" s="76"/>
      <c r="L19" s="76"/>
      <c r="M19" s="76"/>
      <c r="N19" s="76"/>
      <c r="O19" s="76"/>
    </row>
    <row r="22" spans="3:15" ht="15" x14ac:dyDescent="0.35">
      <c r="E22" s="73"/>
    </row>
  </sheetData>
  <mergeCells count="3">
    <mergeCell ref="J14:O14"/>
    <mergeCell ref="C14:H14"/>
    <mergeCell ref="C16:O19"/>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chaltfläche1_Klicken">
                <anchor moveWithCells="1" sizeWithCells="1">
                  <from>
                    <xdr:col>3</xdr:col>
                    <xdr:colOff>685800</xdr:colOff>
                    <xdr:row>10</xdr:row>
                    <xdr:rowOff>22860</xdr:rowOff>
                  </from>
                  <to>
                    <xdr:col>6</xdr:col>
                    <xdr:colOff>106680</xdr:colOff>
                    <xdr:row>12</xdr:row>
                    <xdr:rowOff>15240</xdr:rowOff>
                  </to>
                </anchor>
              </controlPr>
            </control>
          </mc:Choice>
        </mc:AlternateContent>
        <mc:AlternateContent xmlns:mc="http://schemas.openxmlformats.org/markup-compatibility/2006">
          <mc:Choice Requires="x14">
            <control shapeId="1027" r:id="rId4" name="Button 3">
              <controlPr defaultSize="0" print="0" autoFill="0" autoPict="0" macro="[0]!Schaltfläche2_Klicken">
                <anchor moveWithCells="1" sizeWithCells="1">
                  <from>
                    <xdr:col>10</xdr:col>
                    <xdr:colOff>640080</xdr:colOff>
                    <xdr:row>10</xdr:row>
                    <xdr:rowOff>45720</xdr:rowOff>
                  </from>
                  <to>
                    <xdr:col>12</xdr:col>
                    <xdr:colOff>762000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45AEF-3E49-4A61-BBA1-3277EA5B8605}">
  <sheetPr codeName="Tabelle4"/>
  <dimension ref="B4:X66"/>
  <sheetViews>
    <sheetView showGridLines="0" zoomScale="71" zoomScaleNormal="160" workbookViewId="0"/>
  </sheetViews>
  <sheetFormatPr baseColWidth="10" defaultRowHeight="14.4" x14ac:dyDescent="0.3"/>
  <cols>
    <col min="1" max="1" width="13.5546875" style="4" customWidth="1"/>
    <col min="2" max="2" width="97.5546875" style="4" customWidth="1"/>
    <col min="3" max="3" width="6.33203125" style="4" customWidth="1"/>
    <col min="4" max="4" width="11.88671875" style="4" customWidth="1"/>
    <col min="5" max="5" width="5.77734375" style="4" customWidth="1"/>
    <col min="6" max="6" width="14.88671875" style="4" customWidth="1"/>
    <col min="7" max="7" width="102.5546875" style="4" customWidth="1"/>
    <col min="8" max="8" width="7.21875" style="4" customWidth="1"/>
    <col min="9" max="10" width="7.21875" style="33" customWidth="1"/>
    <col min="11" max="11" width="46.21875" style="4" customWidth="1"/>
    <col min="12" max="12" width="28.6640625" style="4" customWidth="1"/>
    <col min="13" max="17" width="22.77734375" style="4" customWidth="1"/>
    <col min="18" max="18" width="19.21875" style="4" customWidth="1"/>
    <col min="19" max="19" width="15.21875" style="4" customWidth="1"/>
    <col min="20" max="20" width="17" style="4" customWidth="1"/>
    <col min="21" max="22" width="12.44140625" style="4" customWidth="1"/>
    <col min="23" max="16384" width="11.5546875" style="4"/>
  </cols>
  <sheetData>
    <row r="4" spans="2:24" x14ac:dyDescent="0.3">
      <c r="B4" s="2"/>
      <c r="C4" s="2"/>
      <c r="D4" s="2"/>
      <c r="E4" s="2"/>
      <c r="F4" s="2"/>
      <c r="G4" s="2"/>
      <c r="H4" s="2"/>
      <c r="I4" s="30"/>
      <c r="J4" s="30"/>
      <c r="L4" s="2"/>
      <c r="M4" s="2"/>
      <c r="N4" s="2"/>
      <c r="O4" s="2"/>
      <c r="P4" s="2"/>
      <c r="Q4" s="2"/>
    </row>
    <row r="5" spans="2:24" x14ac:dyDescent="0.3">
      <c r="D5" s="38"/>
    </row>
    <row r="6" spans="2:24" x14ac:dyDescent="0.3">
      <c r="D6" s="38"/>
      <c r="G6" s="1" t="str">
        <f>M9 &amp; " Mio. Euro Fremdkapital (FK) &lt;- Der Hebel"</f>
        <v>10 Mio. Euro Fremdkapital (FK) &lt;- Der Hebel</v>
      </c>
      <c r="H6" s="1"/>
      <c r="I6" s="30" t="s">
        <v>20</v>
      </c>
      <c r="J6" s="64">
        <v>10</v>
      </c>
      <c r="L6" s="11" t="s">
        <v>8</v>
      </c>
      <c r="M6" s="1"/>
      <c r="N6" s="1"/>
      <c r="O6" s="1"/>
      <c r="P6" s="1"/>
      <c r="Q6" s="1"/>
      <c r="R6" s="8"/>
      <c r="S6" s="8"/>
      <c r="T6" s="8"/>
      <c r="U6" s="8"/>
      <c r="V6" s="8"/>
      <c r="X6" s="8"/>
    </row>
    <row r="7" spans="2:24" x14ac:dyDescent="0.3">
      <c r="G7" s="5"/>
      <c r="H7" s="5"/>
      <c r="I7" s="32"/>
      <c r="J7" s="32"/>
      <c r="L7" s="14"/>
      <c r="M7" s="15" t="s">
        <v>4</v>
      </c>
      <c r="N7" s="15" t="s">
        <v>3</v>
      </c>
      <c r="O7" s="15" t="s">
        <v>38</v>
      </c>
      <c r="P7" s="15" t="s">
        <v>18</v>
      </c>
      <c r="Q7" s="15" t="s">
        <v>1</v>
      </c>
    </row>
    <row r="8" spans="2:24" x14ac:dyDescent="0.3">
      <c r="G8" s="32">
        <v>0</v>
      </c>
      <c r="J8" s="32">
        <v>100</v>
      </c>
      <c r="L8" s="10" t="s">
        <v>47</v>
      </c>
      <c r="M8" s="18"/>
      <c r="O8" s="4">
        <v>12</v>
      </c>
      <c r="P8" s="4">
        <v>1</v>
      </c>
      <c r="Q8" s="4">
        <v>25</v>
      </c>
    </row>
    <row r="9" spans="2:24" x14ac:dyDescent="0.3">
      <c r="D9" s="40"/>
      <c r="J9" s="32"/>
      <c r="L9" s="10" t="s">
        <v>9</v>
      </c>
      <c r="M9" s="4">
        <v>10</v>
      </c>
      <c r="N9" s="4">
        <v>10</v>
      </c>
      <c r="O9" s="19">
        <f>O8/100</f>
        <v>0.12</v>
      </c>
      <c r="P9" s="19">
        <f>P8/100</f>
        <v>0.01</v>
      </c>
      <c r="Q9" s="19">
        <f>Q8/100</f>
        <v>0.25</v>
      </c>
    </row>
    <row r="10" spans="2:24" x14ac:dyDescent="0.3">
      <c r="G10" s="1" t="str">
        <f>N9 &amp; " Mio. Euro Eigenkapital (EK)"</f>
        <v>10 Mio. Euro Eigenkapital (EK)</v>
      </c>
      <c r="H10" s="1"/>
      <c r="I10" s="30" t="s">
        <v>20</v>
      </c>
      <c r="J10" s="64">
        <v>10</v>
      </c>
    </row>
    <row r="11" spans="2:24" x14ac:dyDescent="0.3">
      <c r="G11" s="5"/>
      <c r="H11" s="5"/>
      <c r="I11" s="32"/>
      <c r="J11" s="32"/>
      <c r="L11" s="26" t="s">
        <v>7</v>
      </c>
      <c r="M11" s="27"/>
      <c r="N11" s="2"/>
      <c r="O11" s="1"/>
      <c r="P11" s="2"/>
      <c r="Q11" s="2"/>
    </row>
    <row r="12" spans="2:24" x14ac:dyDescent="0.3">
      <c r="G12" s="32">
        <v>0</v>
      </c>
      <c r="J12" s="32">
        <v>100</v>
      </c>
      <c r="L12" s="41"/>
      <c r="M12" s="39" t="s">
        <v>17</v>
      </c>
      <c r="N12" s="15" t="s">
        <v>2</v>
      </c>
      <c r="O12" s="15" t="s">
        <v>10</v>
      </c>
      <c r="P12" s="39" t="s">
        <v>39</v>
      </c>
      <c r="Q12" s="42"/>
    </row>
    <row r="13" spans="2:24" x14ac:dyDescent="0.3">
      <c r="J13" s="32"/>
      <c r="L13" s="43" t="s">
        <v>46</v>
      </c>
      <c r="M13" s="5">
        <f>O9*(SUM(M9:N9))</f>
        <v>2.4</v>
      </c>
      <c r="N13" s="44">
        <f>M9*P9</f>
        <v>0.1</v>
      </c>
      <c r="O13" s="16">
        <f>1-Q9</f>
        <v>0.75</v>
      </c>
      <c r="P13" s="45">
        <f>IFERROR(N13/M9,0)</f>
        <v>0.01</v>
      </c>
    </row>
    <row r="14" spans="2:24" x14ac:dyDescent="0.3">
      <c r="G14" s="1" t="str">
        <f>O9*100 &amp; "% Gesamtkapitalrendite (GK Rendite)"</f>
        <v>12% Gesamtkapitalrendite (GK Rendite)</v>
      </c>
      <c r="H14" s="7"/>
      <c r="I14" s="30" t="s">
        <v>20</v>
      </c>
      <c r="J14" s="31">
        <v>0.12</v>
      </c>
      <c r="L14" s="10"/>
      <c r="M14" s="46"/>
      <c r="N14" s="47"/>
      <c r="O14" s="48"/>
      <c r="P14" s="5"/>
      <c r="Q14" s="5"/>
      <c r="R14" s="5"/>
      <c r="S14" s="5"/>
    </row>
    <row r="15" spans="2:24" x14ac:dyDescent="0.3">
      <c r="G15" s="5"/>
      <c r="H15" s="5"/>
      <c r="I15" s="32"/>
      <c r="J15" s="32"/>
      <c r="L15" s="9"/>
      <c r="M15" s="49" t="s">
        <v>40</v>
      </c>
      <c r="N15" s="49" t="s">
        <v>41</v>
      </c>
      <c r="O15" s="13" t="s">
        <v>36</v>
      </c>
      <c r="P15" s="50" t="s">
        <v>0</v>
      </c>
      <c r="Q15" s="39"/>
      <c r="R15" s="5"/>
      <c r="S15" s="5"/>
    </row>
    <row r="16" spans="2:24" x14ac:dyDescent="0.3">
      <c r="G16" s="34">
        <v>0</v>
      </c>
      <c r="J16" s="65">
        <v>0.8</v>
      </c>
      <c r="L16" s="10" t="s">
        <v>11</v>
      </c>
      <c r="M16" s="51">
        <f xml:space="preserve"> (M13*(1-Q9) *(N9/SUM(M9:N9))) / N9</f>
        <v>0.09</v>
      </c>
      <c r="N16" s="51">
        <f>IF(M9=0, 0,      (M13*(1-Q9) *(M9/SUM(M9:N9))) / M9   )</f>
        <v>0.09</v>
      </c>
      <c r="O16" s="51">
        <f>P13*(1-Q9)</f>
        <v>7.4999999999999997E-3</v>
      </c>
      <c r="P16" s="52">
        <f>M9/N9</f>
        <v>1</v>
      </c>
      <c r="Q16" s="5"/>
      <c r="R16" s="5"/>
      <c r="S16" s="5"/>
    </row>
    <row r="17" spans="2:21" x14ac:dyDescent="0.3">
      <c r="J17" s="32"/>
      <c r="L17" s="10"/>
      <c r="M17" s="5"/>
      <c r="N17" s="5"/>
      <c r="O17" s="5"/>
      <c r="P17" s="5"/>
      <c r="Q17" s="5"/>
      <c r="R17" s="5"/>
      <c r="S17" s="5"/>
    </row>
    <row r="18" spans="2:21" x14ac:dyDescent="0.3">
      <c r="G18" s="1" t="str">
        <f>P9*100 &amp; "% Zinssatz"</f>
        <v>1% Zinssatz</v>
      </c>
      <c r="H18" s="7"/>
      <c r="I18" s="30" t="s">
        <v>20</v>
      </c>
      <c r="J18" s="31">
        <v>0.01</v>
      </c>
      <c r="L18" s="9"/>
      <c r="M18" s="39" t="s">
        <v>33</v>
      </c>
      <c r="N18" s="49"/>
      <c r="O18" s="49"/>
      <c r="P18" s="39"/>
      <c r="Q18" s="39"/>
      <c r="R18" s="5"/>
      <c r="S18" s="5"/>
    </row>
    <row r="19" spans="2:21" x14ac:dyDescent="0.3">
      <c r="G19" s="5"/>
      <c r="H19" s="5"/>
      <c r="I19" s="32"/>
      <c r="J19" s="32"/>
      <c r="L19" s="53" t="s">
        <v>12</v>
      </c>
      <c r="M19" s="47">
        <f>M16+(N16-O16)*P16</f>
        <v>0.17249999999999999</v>
      </c>
      <c r="N19" s="54"/>
      <c r="O19" s="54"/>
      <c r="P19" s="5"/>
      <c r="Q19" s="5"/>
      <c r="R19" s="5"/>
      <c r="S19" s="5"/>
    </row>
    <row r="20" spans="2:21" x14ac:dyDescent="0.3">
      <c r="G20" s="34">
        <v>0</v>
      </c>
      <c r="J20" s="65">
        <v>0.5</v>
      </c>
      <c r="L20" s="10"/>
      <c r="M20" s="47"/>
      <c r="N20" s="54"/>
      <c r="O20" s="54"/>
      <c r="P20" s="5"/>
      <c r="Q20" s="5"/>
      <c r="R20" s="5"/>
      <c r="S20" s="5"/>
    </row>
    <row r="21" spans="2:21" x14ac:dyDescent="0.3">
      <c r="J21" s="32"/>
      <c r="L21" s="10"/>
      <c r="M21" s="47"/>
      <c r="N21" s="54"/>
      <c r="O21" s="54"/>
      <c r="P21" s="5"/>
      <c r="Q21" s="5"/>
      <c r="R21" s="5"/>
      <c r="S21" s="5"/>
    </row>
    <row r="22" spans="2:21" x14ac:dyDescent="0.3">
      <c r="G22" s="1" t="str">
        <f>Q9*100 &amp; "% Steuersatz"</f>
        <v>25% Steuersatz</v>
      </c>
      <c r="H22" s="7"/>
      <c r="I22" s="30" t="s">
        <v>20</v>
      </c>
      <c r="J22" s="31">
        <v>0.25</v>
      </c>
      <c r="L22" s="9"/>
      <c r="M22" s="2" t="str">
        <f>M18</f>
        <v>EK-Rendite</v>
      </c>
      <c r="N22" s="49" t="s">
        <v>34</v>
      </c>
      <c r="O22" s="49" t="s">
        <v>35</v>
      </c>
      <c r="P22" s="39" t="s">
        <v>36</v>
      </c>
      <c r="Q22" s="2" t="s">
        <v>37</v>
      </c>
      <c r="R22" s="5"/>
      <c r="S22" s="5"/>
    </row>
    <row r="23" spans="2:21" ht="15" customHeight="1" x14ac:dyDescent="0.3">
      <c r="F23" s="55"/>
      <c r="G23" s="16"/>
      <c r="H23" s="5"/>
      <c r="I23" s="32"/>
      <c r="J23" s="66"/>
      <c r="K23" s="55"/>
      <c r="L23" s="10" t="s">
        <v>44</v>
      </c>
      <c r="M23" s="56">
        <f>M19</f>
        <v>0.17249999999999999</v>
      </c>
      <c r="N23" s="56">
        <f>M16</f>
        <v>0.09</v>
      </c>
      <c r="O23" s="56">
        <f>N16</f>
        <v>0.09</v>
      </c>
      <c r="P23" s="56">
        <f>O16</f>
        <v>7.4999999999999997E-3</v>
      </c>
      <c r="Q23" s="57">
        <f>P16</f>
        <v>1</v>
      </c>
      <c r="R23" s="5"/>
      <c r="S23" s="5"/>
    </row>
    <row r="24" spans="2:21" ht="15" customHeight="1" x14ac:dyDescent="0.3">
      <c r="F24" s="55"/>
      <c r="G24" s="34">
        <v>0</v>
      </c>
      <c r="J24" s="66">
        <v>0.8</v>
      </c>
      <c r="K24" s="55"/>
      <c r="L24" s="10" t="s">
        <v>45</v>
      </c>
      <c r="M24" s="58">
        <f>M23*N9</f>
        <v>1.7249999999999999</v>
      </c>
      <c r="N24" s="4">
        <f>N23*N9</f>
        <v>0.89999999999999991</v>
      </c>
      <c r="O24" s="4">
        <f>O23*M9</f>
        <v>0.89999999999999991</v>
      </c>
      <c r="P24" s="4">
        <f>P23*M9</f>
        <v>7.4999999999999997E-2</v>
      </c>
      <c r="Q24" s="57"/>
      <c r="R24" s="5"/>
      <c r="S24" s="5"/>
    </row>
    <row r="25" spans="2:21" x14ac:dyDescent="0.3">
      <c r="N25" s="38"/>
      <c r="O25" s="38"/>
    </row>
    <row r="26" spans="2:21" x14ac:dyDescent="0.3">
      <c r="L26" s="26" t="s">
        <v>42</v>
      </c>
      <c r="M26" s="27"/>
      <c r="N26" s="2"/>
      <c r="O26" s="1"/>
      <c r="P26" s="2"/>
      <c r="Q26" s="2"/>
    </row>
    <row r="27" spans="2:21" x14ac:dyDescent="0.3">
      <c r="L27" s="10"/>
      <c r="M27" s="59"/>
      <c r="U27" s="60"/>
    </row>
    <row r="28" spans="2:21" x14ac:dyDescent="0.3">
      <c r="B28" s="55"/>
      <c r="C28" s="55"/>
      <c r="D28" s="55"/>
      <c r="E28" s="55"/>
      <c r="L28" s="61"/>
      <c r="O28" s="56"/>
      <c r="Q28" s="62"/>
      <c r="U28" s="60"/>
    </row>
    <row r="29" spans="2:21" x14ac:dyDescent="0.3">
      <c r="B29" s="1" t="s">
        <v>19</v>
      </c>
      <c r="C29" s="2"/>
      <c r="D29" s="2"/>
      <c r="E29" s="2"/>
      <c r="G29" s="1" t="s">
        <v>23</v>
      </c>
      <c r="H29" s="2"/>
      <c r="I29" s="30"/>
      <c r="J29" s="30"/>
      <c r="L29" s="10"/>
    </row>
    <row r="30" spans="2:21" x14ac:dyDescent="0.3">
      <c r="B30" s="4" t="s">
        <v>32</v>
      </c>
      <c r="G30" s="67" t="str">
        <f xml:space="preserve"> "Bei einem EK von " &amp; N9 &amp; " Mio. Euro und einer GK-Rendite von " &amp; O9 * 100 &amp; "%, ergibt sich nach " &amp; Q9 * 100 &amp; "% Steuern eine anteilige EK-Rendite von " &amp; M16 * 100 &amp; "%."</f>
        <v>Bei einem EK von 10 Mio. Euro und einer GK-Rendite von 12%, ergibt sich nach 25% Steuern eine anteilige EK-Rendite von 9%.</v>
      </c>
      <c r="L30" s="10"/>
    </row>
    <row r="31" spans="2:21" x14ac:dyDescent="0.3">
      <c r="B31" s="4" t="s">
        <v>28</v>
      </c>
      <c r="G31" s="68" t="str">
        <f>"Der EK-anteilige JA nach Steuern beläuft sich folglich auf " &amp; N9 * O9 * (1 - Q9) &amp; " Mio. Euro -&gt; " &amp; O9 * 100 &amp; "% von " &amp; N9 &amp; " Mio. Euro EK (" &amp; N9 * O9 &amp; " Mio. Euro), abzüglich " &amp; Q9 * N9 * O9 &amp; " Mio. Euro Steuern."</f>
        <v>Der EK-anteilige JA nach Steuern beläuft sich folglich auf 0,9 Mio. Euro -&gt; 12% von 10 Mio. Euro EK (1,2 Mio. Euro), abzüglich 0,3 Mio. Euro Steuern.</v>
      </c>
      <c r="L31" s="10"/>
    </row>
    <row r="32" spans="2:21" x14ac:dyDescent="0.3">
      <c r="B32" s="4" t="s">
        <v>29</v>
      </c>
      <c r="G32" s="67" t="str">
        <f>"Bei einem FK von " &amp; M9 &amp; " Mio. Euro und einer GK-Rendite von " &amp; O9 * 100 &amp; "%, ergibt sich nach " &amp; Q9 * 100 &amp; "% Steuern eine anteilige FK-Rendite von " &amp; N16 * 100 &amp; "%."</f>
        <v>Bei einem FK von 10 Mio. Euro und einer GK-Rendite von 12%, ergibt sich nach 25% Steuern eine anteilige FK-Rendite von 9%.</v>
      </c>
      <c r="L32" s="10"/>
    </row>
    <row r="33" spans="2:17" x14ac:dyDescent="0.3">
      <c r="B33" s="4" t="s">
        <v>30</v>
      </c>
      <c r="F33" s="5"/>
      <c r="G33" s="5" t="str">
        <f>"Der FK-anteilige JA nach Steuern beläuft sich folglich auf " &amp; M9 * O9 * (1 - Q9) &amp; " Mio. Euro -&gt; " &amp; O9 * 100 &amp; "% von " &amp; M9 &amp; " Mio. Euro FK (" &amp; M9 * O9 &amp; " Mio. Euro), abzüglich " &amp; Q9 * M9 * O9 &amp; " Mio. Euro Steuern."</f>
        <v>Der FK-anteilige JA nach Steuern beläuft sich folglich auf 0,9 Mio. Euro -&gt; 12% von 10 Mio. Euro FK (1,2 Mio. Euro), abzüglich 0,3 Mio. Euro Steuern.</v>
      </c>
      <c r="K33" s="5"/>
      <c r="L33" s="10"/>
    </row>
    <row r="34" spans="2:17" x14ac:dyDescent="0.3">
      <c r="B34" s="4" t="s">
        <v>31</v>
      </c>
      <c r="F34" s="5"/>
      <c r="G34" s="68" t="s">
        <v>58</v>
      </c>
      <c r="K34" s="5"/>
      <c r="L34" s="10"/>
    </row>
    <row r="35" spans="2:17" x14ac:dyDescent="0.3">
      <c r="F35" s="5"/>
      <c r="G35" s="68" t="str">
        <f>"1) Die Zinsen i. H. v. " &amp; P9 * M9 &amp; " Mio. Euro (" &amp; P9 * 100 &amp; "% von " &amp; M9 &amp; " Mio. Euro FK)"</f>
        <v>1) Die Zinsen i. H. v. 0,1 Mio. Euro (1% von 10 Mio. Euro FK)</v>
      </c>
      <c r="H35" s="5"/>
      <c r="I35" s="32"/>
      <c r="J35" s="32"/>
      <c r="K35" s="5"/>
      <c r="L35" s="10"/>
    </row>
    <row r="36" spans="2:17" x14ac:dyDescent="0.3">
      <c r="F36" s="5"/>
      <c r="G36" s="68" t="str">
        <f>"2) Die aus den Zinszahlungen resultierenden Steuerersparnisse i. H. v. " &amp; ((Q9 * M9 * O9) - (Q9 * ((M9 * O9) - (M9 * P9)))) &amp; " Mio. Euro "</f>
        <v xml:space="preserve">2) Die aus den Zinszahlungen resultierenden Steuerersparnisse i. H. v. 0,025 Mio. Euro </v>
      </c>
      <c r="H36" s="8"/>
      <c r="I36" s="37"/>
      <c r="J36" s="37"/>
      <c r="K36" s="5"/>
      <c r="L36" s="10"/>
    </row>
    <row r="37" spans="2:17" ht="14.4" customHeight="1" x14ac:dyDescent="0.3">
      <c r="B37" s="77"/>
      <c r="C37" s="77"/>
      <c r="D37" s="77"/>
      <c r="E37" s="77"/>
      <c r="F37" s="5"/>
      <c r="G37" s="68" t="str">
        <f>"Somit belaufen sich die Steuerzahlungen des FKs nicht auf " &amp; Q9 * M9 * O9 &amp; " Mio. Euro, sondern nur auf " &amp; (Q9 * M9 * O9) - ((Q9 * M9 * O9) - (Q9 * ((M9 * O9) - (M9 * P9)))) &amp; " Mio. Euro."</f>
        <v>Somit belaufen sich die Steuerzahlungen des FKs nicht auf 0,3 Mio. Euro, sondern nur auf 0,275 Mio. Euro.</v>
      </c>
      <c r="K37" s="5"/>
      <c r="L37" s="10"/>
    </row>
    <row r="38" spans="2:17" ht="14.4" customHeight="1" x14ac:dyDescent="0.3">
      <c r="F38" s="5"/>
      <c r="G38" s="68" t="str">
        <f>"Beide Effekte zusammen ergeben After-Tax Cost of FK i. H. v. " &amp; (P9 * M9) - ((Q9 * M9 * O9) - (Q9 * ((M9 * O9) - (M9 * P9)))) &amp; " Mio. Euro -&gt; " &amp; (P9 * M9) - ((Q9 * M9 * O9) - (Q9 * ((M9 * O9) - (M9 * P9)))) &amp; " durch " &amp; M9 &amp; " Mio. Euro FK, ergibt " &amp; O16 * 100 &amp; "% After-Tax Cost of FK."</f>
        <v>Beide Effekte zusammen ergeben After-Tax Cost of FK i. H. v. 0,075 Mio. Euro -&gt; 0,075 durch 10 Mio. Euro FK, ergibt 0,75% After-Tax Cost of FK.</v>
      </c>
      <c r="H38" s="5"/>
      <c r="I38" s="32"/>
      <c r="J38" s="32"/>
      <c r="K38" s="5"/>
      <c r="L38" s="78" t="s">
        <v>43</v>
      </c>
      <c r="M38" s="79"/>
      <c r="N38" s="79"/>
      <c r="O38" s="79"/>
      <c r="P38" s="79"/>
      <c r="Q38" s="79"/>
    </row>
    <row r="39" spans="2:17" ht="14.4" customHeight="1" x14ac:dyDescent="0.3">
      <c r="F39" s="5"/>
      <c r="G39" s="67" t="str">
        <f xml:space="preserve"> "Aus " &amp; N9 &amp; " Mio. Euro EK und " &amp; M9 &amp; " Mio. Euro FK, ergibt sich ein Leverage von " &amp; P16 &amp; ". Es gibt " &amp; P16 &amp; " mal so viel FK wie EK."</f>
        <v>Aus 10 Mio. Euro EK und 10 Mio. Euro FK, ergibt sich ein Leverage von 1. Es gibt 1 mal so viel FK wie EK.</v>
      </c>
      <c r="H39" s="5"/>
      <c r="I39" s="32"/>
      <c r="J39" s="32"/>
      <c r="K39" s="5"/>
      <c r="L39" s="78"/>
      <c r="M39" s="79"/>
      <c r="N39" s="79"/>
      <c r="O39" s="79"/>
      <c r="P39" s="79"/>
      <c r="Q39" s="79"/>
    </row>
    <row r="40" spans="2:17" ht="14.4" customHeight="1" x14ac:dyDescent="0.3">
      <c r="F40" s="5"/>
      <c r="G40" s="8" t="str">
        <f>"Wird der Beitrag des FK am JA nach Steuern i. H. v. " &amp; N16 * 100 &amp; "% abzüglich After-Tax Cost of FK i. H. v. " &amp; O16 * 100 &amp; "% mit dem Leverage i. H. v. " &amp; P16 &amp; " gehebelt,"</f>
        <v>Wird der Beitrag des FK am JA nach Steuern i. H. v. 9% abzüglich After-Tax Cost of FK i. H. v. 0,75% mit dem Leverage i. H. v. 1 gehebelt,</v>
      </c>
      <c r="H40" s="5"/>
      <c r="I40" s="32"/>
      <c r="J40" s="32"/>
      <c r="K40" s="5"/>
    </row>
    <row r="41" spans="2:17" ht="14.4" customHeight="1" x14ac:dyDescent="0.3">
      <c r="F41" s="16"/>
      <c r="G41" s="8" t="str">
        <f>"ergibt sich durch Addition mit " &amp; M16 * 100 &amp; "% eine EK-Rendite i. H. v. " &amp; M19 * 100 &amp; "%."</f>
        <v>ergibt sich durch Addition mit 9% eine EK-Rendite i. H. v. 17,25%.</v>
      </c>
      <c r="H41" s="16"/>
      <c r="I41" s="34"/>
      <c r="J41" s="34"/>
      <c r="K41" s="16"/>
    </row>
    <row r="42" spans="2:17" x14ac:dyDescent="0.3">
      <c r="F42" s="5"/>
      <c r="K42" s="5"/>
    </row>
    <row r="43" spans="2:17" x14ac:dyDescent="0.3">
      <c r="G43" s="67"/>
      <c r="K43" s="45"/>
    </row>
    <row r="44" spans="2:17" x14ac:dyDescent="0.3">
      <c r="G44" s="3"/>
      <c r="J44" s="32"/>
      <c r="K44" s="5"/>
    </row>
    <row r="45" spans="2:17" x14ac:dyDescent="0.3">
      <c r="B45" s="3"/>
      <c r="F45" s="16"/>
      <c r="G45" s="3"/>
      <c r="H45" s="16"/>
      <c r="I45" s="34"/>
      <c r="J45" s="34"/>
      <c r="K45" s="16"/>
    </row>
    <row r="46" spans="2:17" x14ac:dyDescent="0.3">
      <c r="F46" s="5"/>
      <c r="G46" s="6"/>
      <c r="H46" s="5"/>
      <c r="I46" s="32"/>
      <c r="J46" s="32"/>
      <c r="K46" s="5"/>
    </row>
    <row r="47" spans="2:17" x14ac:dyDescent="0.3">
      <c r="F47" s="45"/>
      <c r="G47" s="6"/>
      <c r="H47" s="45"/>
      <c r="I47" s="65"/>
      <c r="J47" s="65"/>
      <c r="K47" s="45"/>
    </row>
    <row r="48" spans="2:17" x14ac:dyDescent="0.3">
      <c r="F48" s="5"/>
      <c r="H48" s="5"/>
      <c r="I48" s="32"/>
      <c r="J48" s="32"/>
      <c r="K48" s="5"/>
    </row>
    <row r="49" spans="6:11" x14ac:dyDescent="0.3">
      <c r="F49" s="16"/>
      <c r="G49" s="16"/>
      <c r="H49" s="16"/>
      <c r="I49" s="34"/>
      <c r="J49" s="34"/>
      <c r="K49" s="16"/>
    </row>
    <row r="51" spans="6:11" x14ac:dyDescent="0.3">
      <c r="F51" s="17"/>
      <c r="G51" s="17"/>
      <c r="H51" s="17"/>
      <c r="I51" s="66"/>
      <c r="J51" s="66"/>
      <c r="K51" s="17"/>
    </row>
    <row r="57" spans="6:11" x14ac:dyDescent="0.3">
      <c r="G57" s="3"/>
    </row>
    <row r="58" spans="6:11" x14ac:dyDescent="0.3">
      <c r="G58" s="3"/>
    </row>
    <row r="59" spans="6:11" x14ac:dyDescent="0.3">
      <c r="G59" s="3"/>
    </row>
    <row r="60" spans="6:11" x14ac:dyDescent="0.3">
      <c r="G60" s="6"/>
    </row>
    <row r="61" spans="6:11" x14ac:dyDescent="0.3">
      <c r="F61" s="8"/>
      <c r="G61" s="6"/>
      <c r="H61" s="8"/>
      <c r="I61" s="37"/>
      <c r="J61" s="37"/>
      <c r="K61" s="8"/>
    </row>
    <row r="66" spans="2:2" x14ac:dyDescent="0.3">
      <c r="B66" s="63"/>
    </row>
  </sheetData>
  <mergeCells count="2">
    <mergeCell ref="B37:E37"/>
    <mergeCell ref="L38:Q39"/>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defaultSize="0" autoPict="0">
                <anchor moveWithCells="1">
                  <from>
                    <xdr:col>6</xdr:col>
                    <xdr:colOff>426720</xdr:colOff>
                    <xdr:row>6</xdr:row>
                    <xdr:rowOff>45720</xdr:rowOff>
                  </from>
                  <to>
                    <xdr:col>8</xdr:col>
                    <xdr:colOff>99060</xdr:colOff>
                    <xdr:row>8</xdr:row>
                    <xdr:rowOff>7620</xdr:rowOff>
                  </to>
                </anchor>
              </controlPr>
            </control>
          </mc:Choice>
        </mc:AlternateContent>
        <mc:AlternateContent xmlns:mc="http://schemas.openxmlformats.org/markup-compatibility/2006">
          <mc:Choice Requires="x14">
            <control shapeId="8194" r:id="rId5" name="Scroll Bar 2">
              <controlPr defaultSize="0" autoPict="0">
                <anchor moveWithCells="1">
                  <from>
                    <xdr:col>6</xdr:col>
                    <xdr:colOff>426720</xdr:colOff>
                    <xdr:row>10</xdr:row>
                    <xdr:rowOff>38100</xdr:rowOff>
                  </from>
                  <to>
                    <xdr:col>8</xdr:col>
                    <xdr:colOff>99060</xdr:colOff>
                    <xdr:row>11</xdr:row>
                    <xdr:rowOff>182880</xdr:rowOff>
                  </to>
                </anchor>
              </controlPr>
            </control>
          </mc:Choice>
        </mc:AlternateContent>
        <mc:AlternateContent xmlns:mc="http://schemas.openxmlformats.org/markup-compatibility/2006">
          <mc:Choice Requires="x14">
            <control shapeId="8195" r:id="rId6" name="Scroll Bar 3">
              <controlPr defaultSize="0" autoPict="0">
                <anchor moveWithCells="1">
                  <from>
                    <xdr:col>6</xdr:col>
                    <xdr:colOff>426720</xdr:colOff>
                    <xdr:row>14</xdr:row>
                    <xdr:rowOff>38100</xdr:rowOff>
                  </from>
                  <to>
                    <xdr:col>8</xdr:col>
                    <xdr:colOff>99060</xdr:colOff>
                    <xdr:row>15</xdr:row>
                    <xdr:rowOff>182880</xdr:rowOff>
                  </to>
                </anchor>
              </controlPr>
            </control>
          </mc:Choice>
        </mc:AlternateContent>
        <mc:AlternateContent xmlns:mc="http://schemas.openxmlformats.org/markup-compatibility/2006">
          <mc:Choice Requires="x14">
            <control shapeId="8196" r:id="rId7" name="Scroll Bar 4">
              <controlPr defaultSize="0" autoPict="0">
                <anchor moveWithCells="1">
                  <from>
                    <xdr:col>6</xdr:col>
                    <xdr:colOff>426720</xdr:colOff>
                    <xdr:row>18</xdr:row>
                    <xdr:rowOff>30480</xdr:rowOff>
                  </from>
                  <to>
                    <xdr:col>8</xdr:col>
                    <xdr:colOff>99060</xdr:colOff>
                    <xdr:row>19</xdr:row>
                    <xdr:rowOff>175260</xdr:rowOff>
                  </to>
                </anchor>
              </controlPr>
            </control>
          </mc:Choice>
        </mc:AlternateContent>
        <mc:AlternateContent xmlns:mc="http://schemas.openxmlformats.org/markup-compatibility/2006">
          <mc:Choice Requires="x14">
            <control shapeId="8201" r:id="rId8" name="Button 9">
              <controlPr defaultSize="0" print="0" autoFill="0" autoPict="0" macro="[0]!FL_Default">
                <anchor moveWithCells="1" sizeWithCells="1">
                  <from>
                    <xdr:col>6</xdr:col>
                    <xdr:colOff>4564380</xdr:colOff>
                    <xdr:row>25</xdr:row>
                    <xdr:rowOff>30480</xdr:rowOff>
                  </from>
                  <to>
                    <xdr:col>10</xdr:col>
                    <xdr:colOff>15240</xdr:colOff>
                    <xdr:row>27</xdr:row>
                    <xdr:rowOff>38100</xdr:rowOff>
                  </to>
                </anchor>
              </controlPr>
            </control>
          </mc:Choice>
        </mc:AlternateContent>
        <mc:AlternateContent xmlns:mc="http://schemas.openxmlformats.org/markup-compatibility/2006">
          <mc:Choice Requires="x14">
            <control shapeId="8199" r:id="rId9" name="Scroll Bar 7">
              <controlPr defaultSize="0" autoPict="0">
                <anchor moveWithCells="1">
                  <from>
                    <xdr:col>6</xdr:col>
                    <xdr:colOff>426720</xdr:colOff>
                    <xdr:row>22</xdr:row>
                    <xdr:rowOff>45720</xdr:rowOff>
                  </from>
                  <to>
                    <xdr:col>8</xdr:col>
                    <xdr:colOff>99060</xdr:colOff>
                    <xdr:row>23</xdr:row>
                    <xdr:rowOff>175260</xdr:rowOff>
                  </to>
                </anchor>
              </controlPr>
            </control>
          </mc:Choice>
        </mc:AlternateContent>
        <mc:AlternateContent xmlns:mc="http://schemas.openxmlformats.org/markup-compatibility/2006">
          <mc:Choice Requires="x14">
            <control shapeId="8205" r:id="rId10" name="Button 13">
              <controlPr defaultSize="0" print="0" autoFill="0" autoPict="0" macro="[0]!Schaltfläche13_Klicken">
                <anchor moveWithCells="1" sizeWithCells="1">
                  <from>
                    <xdr:col>6</xdr:col>
                    <xdr:colOff>45720</xdr:colOff>
                    <xdr:row>25</xdr:row>
                    <xdr:rowOff>45720</xdr:rowOff>
                  </from>
                  <to>
                    <xdr:col>6</xdr:col>
                    <xdr:colOff>4008120</xdr:colOff>
                    <xdr:row>27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F1A39-2072-4AE1-B630-A6A229BE765A}">
  <sheetPr codeName="Tabelle3"/>
  <dimension ref="B4:W50"/>
  <sheetViews>
    <sheetView showGridLines="0" zoomScale="70" zoomScaleNormal="130" workbookViewId="0"/>
  </sheetViews>
  <sheetFormatPr baseColWidth="10" defaultRowHeight="14.4" x14ac:dyDescent="0.3"/>
  <cols>
    <col min="1" max="1" width="11.5546875" style="4"/>
    <col min="2" max="2" width="98.21875" style="4" customWidth="1"/>
    <col min="3" max="5" width="11.5546875" style="4" customWidth="1"/>
    <col min="6" max="6" width="14.44140625" style="4" customWidth="1"/>
    <col min="7" max="7" width="102.88671875" style="4" customWidth="1"/>
    <col min="8" max="8" width="7.33203125" style="4" customWidth="1"/>
    <col min="9" max="10" width="7.33203125" style="33" customWidth="1"/>
    <col min="11" max="11" width="27.109375" style="4" customWidth="1"/>
    <col min="12" max="12" width="25" style="4" customWidth="1"/>
    <col min="13" max="13" width="11.33203125" style="4" customWidth="1"/>
    <col min="14" max="23" width="10.6640625" style="4" customWidth="1"/>
    <col min="24" max="16384" width="11.5546875" style="4"/>
  </cols>
  <sheetData>
    <row r="4" spans="2:23" x14ac:dyDescent="0.3">
      <c r="B4" s="2"/>
      <c r="C4" s="2"/>
      <c r="D4" s="2"/>
      <c r="E4" s="2"/>
      <c r="F4" s="2"/>
      <c r="G4" s="2"/>
      <c r="H4" s="2"/>
      <c r="I4" s="30"/>
      <c r="J4" s="30"/>
      <c r="L4" s="2"/>
      <c r="M4" s="2"/>
      <c r="N4" s="2"/>
      <c r="O4" s="2"/>
      <c r="P4" s="2"/>
      <c r="Q4" s="2"/>
      <c r="R4" s="2"/>
      <c r="S4" s="2"/>
      <c r="T4" s="2"/>
      <c r="U4" s="2"/>
      <c r="V4" s="2"/>
      <c r="W4" s="2"/>
    </row>
    <row r="6" spans="2:23" x14ac:dyDescent="0.3">
      <c r="G6" s="1" t="str">
        <f>M9*100 &amp; "% Anteil der fixen Kosten an den Gesamtkosten &lt;- Der Hebel"</f>
        <v>20% Anteil der fixen Kosten an den Gesamtkosten &lt;- Der Hebel</v>
      </c>
      <c r="H6" s="7"/>
      <c r="I6" s="30" t="s">
        <v>20</v>
      </c>
      <c r="J6" s="31">
        <v>0.2</v>
      </c>
      <c r="L6" s="11" t="s">
        <v>8</v>
      </c>
      <c r="M6" s="1"/>
      <c r="N6" s="1"/>
      <c r="O6" s="1"/>
      <c r="P6" s="1"/>
      <c r="Q6" s="1"/>
      <c r="R6" s="1"/>
      <c r="S6" s="1"/>
      <c r="T6" s="1"/>
      <c r="U6" s="1"/>
      <c r="V6" s="1"/>
      <c r="W6" s="1"/>
    </row>
    <row r="7" spans="2:23" x14ac:dyDescent="0.3">
      <c r="G7" s="5"/>
      <c r="H7" s="5"/>
      <c r="I7" s="32"/>
      <c r="J7" s="32"/>
      <c r="L7" s="14"/>
      <c r="M7" s="15" t="s">
        <v>52</v>
      </c>
      <c r="N7" s="15" t="s">
        <v>6</v>
      </c>
      <c r="O7" s="15" t="s">
        <v>53</v>
      </c>
    </row>
    <row r="8" spans="2:23" x14ac:dyDescent="0.3">
      <c r="G8" s="34">
        <v>0</v>
      </c>
      <c r="H8" s="17"/>
      <c r="J8" s="34">
        <v>1</v>
      </c>
      <c r="L8" s="10" t="s">
        <v>47</v>
      </c>
      <c r="M8" s="4">
        <v>20</v>
      </c>
      <c r="N8" s="4">
        <v>5</v>
      </c>
      <c r="O8" s="4">
        <v>50</v>
      </c>
    </row>
    <row r="9" spans="2:23" x14ac:dyDescent="0.3">
      <c r="J9" s="32"/>
      <c r="L9" s="10" t="s">
        <v>9</v>
      </c>
      <c r="M9" s="18">
        <f>M8/100</f>
        <v>0.2</v>
      </c>
      <c r="N9" s="19">
        <f>N8/100</f>
        <v>0.05</v>
      </c>
      <c r="O9" s="19">
        <f>O8/100</f>
        <v>0.5</v>
      </c>
    </row>
    <row r="10" spans="2:23" x14ac:dyDescent="0.3">
      <c r="G10" s="1" t="str">
        <f>N9*100 &amp; "% Marge"</f>
        <v>5% Marge</v>
      </c>
      <c r="H10" s="7"/>
      <c r="I10" s="30" t="s">
        <v>20</v>
      </c>
      <c r="J10" s="31">
        <v>0.05</v>
      </c>
    </row>
    <row r="11" spans="2:23" x14ac:dyDescent="0.3">
      <c r="G11" s="5"/>
      <c r="H11" s="5"/>
      <c r="I11" s="32"/>
      <c r="J11" s="32"/>
      <c r="L11" s="11" t="s">
        <v>7</v>
      </c>
      <c r="M11" s="2">
        <v>20</v>
      </c>
      <c r="N11" s="2">
        <v>5</v>
      </c>
      <c r="O11" s="2">
        <v>50</v>
      </c>
      <c r="P11" s="2"/>
      <c r="Q11" s="2"/>
      <c r="R11" s="2"/>
      <c r="S11" s="2"/>
      <c r="T11" s="2"/>
      <c r="U11" s="2"/>
      <c r="V11" s="2"/>
      <c r="W11" s="2"/>
    </row>
    <row r="12" spans="2:23" x14ac:dyDescent="0.3">
      <c r="G12" s="34">
        <v>0</v>
      </c>
      <c r="H12" s="17"/>
      <c r="J12" s="34">
        <v>0.5</v>
      </c>
      <c r="L12" s="9" t="s">
        <v>16</v>
      </c>
      <c r="M12" s="20">
        <v>0</v>
      </c>
      <c r="N12" s="21">
        <v>1</v>
      </c>
      <c r="O12" s="21">
        <v>2</v>
      </c>
      <c r="P12" s="21">
        <v>3</v>
      </c>
      <c r="Q12" s="21">
        <v>4</v>
      </c>
      <c r="R12" s="21">
        <v>5</v>
      </c>
      <c r="S12" s="21">
        <v>6</v>
      </c>
      <c r="T12" s="21">
        <v>7</v>
      </c>
      <c r="U12" s="21">
        <v>8</v>
      </c>
      <c r="V12" s="21">
        <v>9</v>
      </c>
      <c r="W12" s="21">
        <v>10</v>
      </c>
    </row>
    <row r="13" spans="2:23" x14ac:dyDescent="0.3">
      <c r="J13" s="32"/>
      <c r="L13" s="10" t="s">
        <v>13</v>
      </c>
      <c r="M13" s="22">
        <v>100</v>
      </c>
      <c r="N13" s="23">
        <f>100-30*O9</f>
        <v>85</v>
      </c>
      <c r="O13" s="23">
        <f>N13+10*O9</f>
        <v>90</v>
      </c>
      <c r="P13" s="23">
        <f>O13+15*O9</f>
        <v>97.5</v>
      </c>
      <c r="Q13" s="23">
        <f>P13+10*O9</f>
        <v>102.5</v>
      </c>
      <c r="R13" s="23">
        <f>Q13-25*O9</f>
        <v>90</v>
      </c>
      <c r="S13" s="23">
        <f>R13-5*O9</f>
        <v>87.5</v>
      </c>
      <c r="T13" s="23">
        <f>S13-15*O9</f>
        <v>80</v>
      </c>
      <c r="U13" s="23">
        <f>T13+30*O9</f>
        <v>95</v>
      </c>
      <c r="V13" s="23">
        <f>U13+5*O9</f>
        <v>97.5</v>
      </c>
      <c r="W13" s="23">
        <f>V13-10*O9</f>
        <v>92.5</v>
      </c>
    </row>
    <row r="14" spans="2:23" x14ac:dyDescent="0.3">
      <c r="G14" s="1" t="str">
        <f>O9*100 &amp; "% Umsatzvolatilität"</f>
        <v>50% Umsatzvolatilität</v>
      </c>
      <c r="H14" s="7"/>
      <c r="I14" s="30" t="s">
        <v>20</v>
      </c>
      <c r="J14" s="31">
        <v>0.5</v>
      </c>
      <c r="L14" s="9" t="s">
        <v>5</v>
      </c>
      <c r="M14" s="20">
        <v>1</v>
      </c>
      <c r="N14" s="21">
        <v>1</v>
      </c>
      <c r="O14" s="21">
        <v>1</v>
      </c>
      <c r="P14" s="21">
        <v>1</v>
      </c>
      <c r="Q14" s="21">
        <v>1</v>
      </c>
      <c r="R14" s="21">
        <v>1</v>
      </c>
      <c r="S14" s="21">
        <v>1</v>
      </c>
      <c r="T14" s="21">
        <v>1</v>
      </c>
      <c r="U14" s="21">
        <v>1</v>
      </c>
      <c r="V14" s="21">
        <v>1</v>
      </c>
      <c r="W14" s="21">
        <v>1</v>
      </c>
    </row>
    <row r="15" spans="2:23" x14ac:dyDescent="0.3">
      <c r="G15" s="5"/>
      <c r="H15" s="5"/>
      <c r="I15" s="32"/>
      <c r="J15" s="32"/>
      <c r="L15" s="9" t="s">
        <v>14</v>
      </c>
      <c r="M15" s="20">
        <f t="shared" ref="M15:W15" si="0">(M13*M14)*(1+$N$9)</f>
        <v>105</v>
      </c>
      <c r="N15" s="21">
        <f t="shared" si="0"/>
        <v>89.25</v>
      </c>
      <c r="O15" s="21">
        <f t="shared" si="0"/>
        <v>94.5</v>
      </c>
      <c r="P15" s="21">
        <f t="shared" si="0"/>
        <v>102.375</v>
      </c>
      <c r="Q15" s="21">
        <f t="shared" si="0"/>
        <v>107.625</v>
      </c>
      <c r="R15" s="21">
        <f t="shared" si="0"/>
        <v>94.5</v>
      </c>
      <c r="S15" s="21">
        <f t="shared" si="0"/>
        <v>91.875</v>
      </c>
      <c r="T15" s="21">
        <f t="shared" si="0"/>
        <v>84</v>
      </c>
      <c r="U15" s="21">
        <f t="shared" si="0"/>
        <v>99.75</v>
      </c>
      <c r="V15" s="21">
        <f t="shared" si="0"/>
        <v>102.375</v>
      </c>
      <c r="W15" s="21">
        <f t="shared" si="0"/>
        <v>97.125</v>
      </c>
    </row>
    <row r="16" spans="2:23" x14ac:dyDescent="0.3">
      <c r="G16" s="34">
        <v>0</v>
      </c>
      <c r="J16" s="34">
        <v>1</v>
      </c>
      <c r="L16" s="10" t="s">
        <v>54</v>
      </c>
      <c r="M16" s="22">
        <f>M8</f>
        <v>20</v>
      </c>
      <c r="N16" s="23">
        <f>M16</f>
        <v>20</v>
      </c>
      <c r="O16" s="23">
        <f t="shared" ref="O16:V16" si="1">N16</f>
        <v>20</v>
      </c>
      <c r="P16" s="23">
        <f t="shared" si="1"/>
        <v>20</v>
      </c>
      <c r="Q16" s="23">
        <f t="shared" si="1"/>
        <v>20</v>
      </c>
      <c r="R16" s="23">
        <f t="shared" si="1"/>
        <v>20</v>
      </c>
      <c r="S16" s="23">
        <f t="shared" si="1"/>
        <v>20</v>
      </c>
      <c r="T16" s="23">
        <f t="shared" si="1"/>
        <v>20</v>
      </c>
      <c r="U16" s="23">
        <f t="shared" si="1"/>
        <v>20</v>
      </c>
      <c r="V16" s="23">
        <f t="shared" si="1"/>
        <v>20</v>
      </c>
      <c r="W16" s="23">
        <f t="shared" ref="W16" si="2">V16</f>
        <v>20</v>
      </c>
    </row>
    <row r="17" spans="2:23" x14ac:dyDescent="0.3">
      <c r="J17" s="32"/>
      <c r="L17" s="9" t="s">
        <v>55</v>
      </c>
      <c r="M17" s="20">
        <f>((100-$M$16)/100)*M13</f>
        <v>80</v>
      </c>
      <c r="N17" s="21">
        <f>((100-$M$16)/100)*N13</f>
        <v>68</v>
      </c>
      <c r="O17" s="21">
        <f t="shared" ref="O17:W17" si="3">((100-$M$16)/100)*O13</f>
        <v>72</v>
      </c>
      <c r="P17" s="21">
        <f t="shared" si="3"/>
        <v>78</v>
      </c>
      <c r="Q17" s="21">
        <f t="shared" si="3"/>
        <v>82</v>
      </c>
      <c r="R17" s="21">
        <f t="shared" si="3"/>
        <v>72</v>
      </c>
      <c r="S17" s="21">
        <f t="shared" si="3"/>
        <v>70</v>
      </c>
      <c r="T17" s="21">
        <f t="shared" si="3"/>
        <v>64</v>
      </c>
      <c r="U17" s="21">
        <f t="shared" si="3"/>
        <v>76</v>
      </c>
      <c r="V17" s="21">
        <f t="shared" si="3"/>
        <v>78</v>
      </c>
      <c r="W17" s="21">
        <f t="shared" si="3"/>
        <v>74</v>
      </c>
    </row>
    <row r="18" spans="2:23" x14ac:dyDescent="0.3">
      <c r="L18" s="14" t="s">
        <v>56</v>
      </c>
      <c r="M18" s="24">
        <f>SUM(M16:M17)</f>
        <v>100</v>
      </c>
      <c r="N18" s="25">
        <f t="shared" ref="N18:W18" si="4">SUM(N16:N17)</f>
        <v>88</v>
      </c>
      <c r="O18" s="25">
        <f t="shared" si="4"/>
        <v>92</v>
      </c>
      <c r="P18" s="25">
        <f t="shared" si="4"/>
        <v>98</v>
      </c>
      <c r="Q18" s="25">
        <f t="shared" si="4"/>
        <v>102</v>
      </c>
      <c r="R18" s="25">
        <f t="shared" si="4"/>
        <v>92</v>
      </c>
      <c r="S18" s="25">
        <f t="shared" si="4"/>
        <v>90</v>
      </c>
      <c r="T18" s="25">
        <f t="shared" si="4"/>
        <v>84</v>
      </c>
      <c r="U18" s="25">
        <f t="shared" si="4"/>
        <v>96</v>
      </c>
      <c r="V18" s="25">
        <f t="shared" si="4"/>
        <v>98</v>
      </c>
      <c r="W18" s="25">
        <f t="shared" si="4"/>
        <v>94</v>
      </c>
    </row>
    <row r="19" spans="2:23" x14ac:dyDescent="0.3">
      <c r="L19" s="10" t="s">
        <v>15</v>
      </c>
      <c r="M19" s="22">
        <f t="shared" ref="M19:W19" si="5">M15-M18</f>
        <v>5</v>
      </c>
      <c r="N19" s="23">
        <f t="shared" si="5"/>
        <v>1.25</v>
      </c>
      <c r="O19" s="23">
        <f t="shared" si="5"/>
        <v>2.5</v>
      </c>
      <c r="P19" s="23">
        <f t="shared" si="5"/>
        <v>4.375</v>
      </c>
      <c r="Q19" s="23">
        <f t="shared" si="5"/>
        <v>5.625</v>
      </c>
      <c r="R19" s="23">
        <f t="shared" si="5"/>
        <v>2.5</v>
      </c>
      <c r="S19" s="23">
        <f t="shared" si="5"/>
        <v>1.875</v>
      </c>
      <c r="T19" s="23">
        <f t="shared" si="5"/>
        <v>0</v>
      </c>
      <c r="U19" s="23">
        <f t="shared" si="5"/>
        <v>3.75</v>
      </c>
      <c r="V19" s="23">
        <f t="shared" si="5"/>
        <v>4.375</v>
      </c>
      <c r="W19" s="23">
        <f t="shared" si="5"/>
        <v>3.125</v>
      </c>
    </row>
    <row r="20" spans="2:23" x14ac:dyDescent="0.3">
      <c r="L20" s="10"/>
    </row>
    <row r="21" spans="2:23" x14ac:dyDescent="0.3">
      <c r="L21" s="10" t="s">
        <v>21</v>
      </c>
      <c r="M21" s="4">
        <f>COUNTIF(N21:W21,1)</f>
        <v>0</v>
      </c>
      <c r="N21" s="4">
        <f t="shared" ref="N21:W21" si="6">IF(N19&lt;0,1,0)</f>
        <v>0</v>
      </c>
      <c r="O21" s="4">
        <f t="shared" si="6"/>
        <v>0</v>
      </c>
      <c r="P21" s="4">
        <f t="shared" si="6"/>
        <v>0</v>
      </c>
      <c r="Q21" s="4">
        <f t="shared" si="6"/>
        <v>0</v>
      </c>
      <c r="R21" s="4">
        <f t="shared" si="6"/>
        <v>0</v>
      </c>
      <c r="S21" s="4">
        <f t="shared" si="6"/>
        <v>0</v>
      </c>
      <c r="T21" s="4">
        <f t="shared" si="6"/>
        <v>0</v>
      </c>
      <c r="U21" s="4">
        <f t="shared" si="6"/>
        <v>0</v>
      </c>
      <c r="V21" s="4">
        <f t="shared" si="6"/>
        <v>0</v>
      </c>
      <c r="W21" s="4">
        <f t="shared" si="6"/>
        <v>0</v>
      </c>
    </row>
    <row r="23" spans="2:23" x14ac:dyDescent="0.3">
      <c r="G23" s="8"/>
      <c r="L23" s="26" t="s">
        <v>42</v>
      </c>
      <c r="M23" s="27"/>
      <c r="N23" s="2"/>
      <c r="O23" s="1"/>
      <c r="P23" s="2"/>
      <c r="Q23" s="2"/>
      <c r="R23" s="2"/>
      <c r="S23" s="2"/>
      <c r="T23" s="2"/>
      <c r="U23" s="2"/>
      <c r="V23" s="2"/>
      <c r="W23" s="2"/>
    </row>
    <row r="24" spans="2:23" ht="14.4" customHeight="1" x14ac:dyDescent="0.3">
      <c r="G24" s="28"/>
      <c r="H24" s="28"/>
      <c r="I24" s="35"/>
      <c r="J24" s="35"/>
      <c r="K24" s="28"/>
      <c r="L24" s="29" t="s">
        <v>57</v>
      </c>
    </row>
    <row r="25" spans="2:23" ht="14.4" customHeight="1" x14ac:dyDescent="0.3">
      <c r="L25" s="10"/>
    </row>
    <row r="27" spans="2:23" x14ac:dyDescent="0.3">
      <c r="B27" s="70"/>
      <c r="C27" s="71" t="str">
        <f>M21&amp;" von 10 Perioden sind Verlustperioden."</f>
        <v>0 von 10 Perioden sind Verlustperioden.</v>
      </c>
    </row>
    <row r="29" spans="2:23" x14ac:dyDescent="0.3">
      <c r="B29" s="1" t="s">
        <v>19</v>
      </c>
      <c r="C29" s="2"/>
      <c r="D29" s="2"/>
      <c r="E29" s="2"/>
      <c r="G29" s="1" t="s">
        <v>22</v>
      </c>
      <c r="H29" s="2"/>
      <c r="I29" s="30"/>
      <c r="J29" s="30"/>
    </row>
    <row r="30" spans="2:23" ht="15" x14ac:dyDescent="0.35">
      <c r="B30" s="74" t="s">
        <v>51</v>
      </c>
      <c r="G30" s="81" t="str">
        <f>"Bei einem Anteil der fixen Kosten von " &amp;M9*100&amp; "% an dem Gesamtkosten, einer Marge von " &amp;N9*100&amp; "% und einer Umsatzvolatilität von " &amp;O9*100&amp; "% "</f>
        <v xml:space="preserve">Bei einem Anteil der fixen Kosten von 20% an dem Gesamtkosten, einer Marge von 5% und einer Umsatzvolatilität von 50% </v>
      </c>
      <c r="H30" s="81"/>
      <c r="I30" s="81"/>
      <c r="J30" s="81"/>
    </row>
    <row r="31" spans="2:23" ht="15" x14ac:dyDescent="0.35">
      <c r="B31" s="74" t="s">
        <v>48</v>
      </c>
      <c r="G31" s="82" t="str">
        <f>"entsteht in "&amp;M21&amp;" von 10 Perioden ein negativer Jahresüberschuss."</f>
        <v>entsteht in 0 von 10 Perioden ein negativer Jahresüberschuss.</v>
      </c>
      <c r="H31" s="82"/>
      <c r="I31" s="82"/>
      <c r="J31" s="82"/>
    </row>
    <row r="32" spans="2:23" ht="15" x14ac:dyDescent="0.35">
      <c r="B32" s="74" t="s">
        <v>49</v>
      </c>
      <c r="G32" s="83"/>
      <c r="H32" s="83"/>
      <c r="I32" s="83"/>
      <c r="J32" s="83"/>
    </row>
    <row r="33" spans="2:10" x14ac:dyDescent="0.3">
      <c r="B33" s="4" t="s">
        <v>50</v>
      </c>
      <c r="G33" s="83"/>
      <c r="H33" s="83"/>
      <c r="I33" s="83"/>
      <c r="J33" s="83"/>
    </row>
    <row r="34" spans="2:10" x14ac:dyDescent="0.3">
      <c r="G34" s="83"/>
      <c r="H34" s="83"/>
      <c r="I34" s="83"/>
      <c r="J34" s="83"/>
    </row>
    <row r="35" spans="2:10" x14ac:dyDescent="0.3">
      <c r="G35" s="83"/>
      <c r="H35" s="83"/>
      <c r="I35" s="83"/>
      <c r="J35" s="83"/>
    </row>
    <row r="36" spans="2:10" x14ac:dyDescent="0.3">
      <c r="G36" s="83"/>
      <c r="H36" s="83"/>
      <c r="I36" s="83"/>
      <c r="J36" s="83"/>
    </row>
    <row r="37" spans="2:10" x14ac:dyDescent="0.3">
      <c r="G37" s="16"/>
      <c r="H37" s="16"/>
      <c r="I37" s="34"/>
      <c r="J37" s="34"/>
    </row>
    <row r="38" spans="2:10" x14ac:dyDescent="0.3">
      <c r="G38" s="5"/>
      <c r="H38" s="5"/>
      <c r="I38" s="32"/>
      <c r="J38" s="32"/>
    </row>
    <row r="39" spans="2:10" x14ac:dyDescent="0.3">
      <c r="G39" s="16"/>
      <c r="H39" s="16"/>
      <c r="I39" s="34"/>
      <c r="J39" s="34"/>
    </row>
    <row r="40" spans="2:10" x14ac:dyDescent="0.3">
      <c r="G40" s="5"/>
      <c r="H40" s="5"/>
      <c r="I40" s="32"/>
      <c r="J40" s="32"/>
    </row>
    <row r="41" spans="2:10" x14ac:dyDescent="0.3">
      <c r="G41" s="16"/>
      <c r="H41" s="16"/>
      <c r="I41" s="34"/>
      <c r="J41" s="34"/>
    </row>
    <row r="42" spans="2:10" x14ac:dyDescent="0.3">
      <c r="G42" s="5"/>
      <c r="H42" s="5"/>
      <c r="I42" s="32"/>
      <c r="J42" s="32"/>
    </row>
    <row r="43" spans="2:10" x14ac:dyDescent="0.3">
      <c r="G43" s="16"/>
      <c r="H43" s="16"/>
      <c r="I43" s="34"/>
      <c r="J43" s="34"/>
    </row>
    <row r="44" spans="2:10" x14ac:dyDescent="0.3">
      <c r="G44" s="5"/>
      <c r="H44" s="5"/>
      <c r="I44" s="32"/>
      <c r="J44" s="32"/>
    </row>
    <row r="46" spans="2:10" x14ac:dyDescent="0.3">
      <c r="B46" s="8"/>
    </row>
    <row r="47" spans="2:10" ht="14.4" customHeight="1" x14ac:dyDescent="0.3">
      <c r="B47" s="80"/>
      <c r="C47" s="80"/>
      <c r="D47" s="80"/>
      <c r="E47" s="80"/>
      <c r="F47" s="80"/>
      <c r="G47" s="12"/>
      <c r="H47" s="12"/>
      <c r="I47" s="36"/>
      <c r="J47" s="36"/>
    </row>
    <row r="48" spans="2:10" x14ac:dyDescent="0.3">
      <c r="B48" s="3"/>
    </row>
    <row r="49" spans="2:10" x14ac:dyDescent="0.3">
      <c r="B49" s="8"/>
      <c r="C49" s="8"/>
      <c r="D49" s="8"/>
      <c r="E49" s="8"/>
      <c r="F49" s="8"/>
      <c r="G49" s="8"/>
      <c r="H49" s="8"/>
      <c r="I49" s="37"/>
      <c r="J49" s="37"/>
    </row>
    <row r="50" spans="2:10" x14ac:dyDescent="0.3">
      <c r="B50" s="3"/>
    </row>
  </sheetData>
  <mergeCells count="8">
    <mergeCell ref="B47:F47"/>
    <mergeCell ref="G30:J30"/>
    <mergeCell ref="G31:J31"/>
    <mergeCell ref="G32:J32"/>
    <mergeCell ref="G33:J33"/>
    <mergeCell ref="G34:J34"/>
    <mergeCell ref="G35:J35"/>
    <mergeCell ref="G36:J36"/>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Scroll Bar 1">
              <controlPr defaultSize="0" autoPict="0">
                <anchor moveWithCells="1">
                  <from>
                    <xdr:col>6</xdr:col>
                    <xdr:colOff>502920</xdr:colOff>
                    <xdr:row>6</xdr:row>
                    <xdr:rowOff>38100</xdr:rowOff>
                  </from>
                  <to>
                    <xdr:col>8</xdr:col>
                    <xdr:colOff>144780</xdr:colOff>
                    <xdr:row>7</xdr:row>
                    <xdr:rowOff>182880</xdr:rowOff>
                  </to>
                </anchor>
              </controlPr>
            </control>
          </mc:Choice>
        </mc:AlternateContent>
        <mc:AlternateContent xmlns:mc="http://schemas.openxmlformats.org/markup-compatibility/2006">
          <mc:Choice Requires="x14">
            <control shapeId="6146" r:id="rId4" name="Scroll Bar 2">
              <controlPr defaultSize="0" autoPict="0">
                <anchor moveWithCells="1">
                  <from>
                    <xdr:col>6</xdr:col>
                    <xdr:colOff>502920</xdr:colOff>
                    <xdr:row>10</xdr:row>
                    <xdr:rowOff>38100</xdr:rowOff>
                  </from>
                  <to>
                    <xdr:col>8</xdr:col>
                    <xdr:colOff>144780</xdr:colOff>
                    <xdr:row>12</xdr:row>
                    <xdr:rowOff>0</xdr:rowOff>
                  </to>
                </anchor>
              </controlPr>
            </control>
          </mc:Choice>
        </mc:AlternateContent>
        <mc:AlternateContent xmlns:mc="http://schemas.openxmlformats.org/markup-compatibility/2006">
          <mc:Choice Requires="x14">
            <control shapeId="6149" r:id="rId5" name="Button 5">
              <controlPr defaultSize="0" print="0" autoFill="0" autoPict="0" macro="[0]!OL_Default">
                <anchor moveWithCells="1">
                  <from>
                    <xdr:col>6</xdr:col>
                    <xdr:colOff>4518660</xdr:colOff>
                    <xdr:row>18</xdr:row>
                    <xdr:rowOff>15240</xdr:rowOff>
                  </from>
                  <to>
                    <xdr:col>9</xdr:col>
                    <xdr:colOff>403860</xdr:colOff>
                    <xdr:row>20</xdr:row>
                    <xdr:rowOff>22860</xdr:rowOff>
                  </to>
                </anchor>
              </controlPr>
            </control>
          </mc:Choice>
        </mc:AlternateContent>
        <mc:AlternateContent xmlns:mc="http://schemas.openxmlformats.org/markup-compatibility/2006">
          <mc:Choice Requires="x14">
            <control shapeId="6150" r:id="rId6" name="Button 6">
              <controlPr defaultSize="0" print="0" autoFill="0" autoPict="0" macro="[0]!Schaltfläche6_Klicken">
                <anchor moveWithCells="1" sizeWithCells="1">
                  <from>
                    <xdr:col>5</xdr:col>
                    <xdr:colOff>982980</xdr:colOff>
                    <xdr:row>18</xdr:row>
                    <xdr:rowOff>0</xdr:rowOff>
                  </from>
                  <to>
                    <xdr:col>6</xdr:col>
                    <xdr:colOff>3954780</xdr:colOff>
                    <xdr:row>20</xdr:row>
                    <xdr:rowOff>15240</xdr:rowOff>
                  </to>
                </anchor>
              </controlPr>
            </control>
          </mc:Choice>
        </mc:AlternateContent>
        <mc:AlternateContent xmlns:mc="http://schemas.openxmlformats.org/markup-compatibility/2006">
          <mc:Choice Requires="x14">
            <control shapeId="6151" r:id="rId7" name="Scroll Bar 7">
              <controlPr defaultSize="0" autoPict="0">
                <anchor moveWithCells="1">
                  <from>
                    <xdr:col>6</xdr:col>
                    <xdr:colOff>502920</xdr:colOff>
                    <xdr:row>14</xdr:row>
                    <xdr:rowOff>45720</xdr:rowOff>
                  </from>
                  <to>
                    <xdr:col>8</xdr:col>
                    <xdr:colOff>137160</xdr:colOff>
                    <xdr:row>16</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Cover</vt:lpstr>
      <vt:lpstr>FL_Viz</vt:lpstr>
      <vt:lpstr>OL_Viz</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Maximilian Maurice Remy</dc:creator>
  <cp:lastModifiedBy>Maximilian Maurice Remy</cp:lastModifiedBy>
  <dcterms:created xsi:type="dcterms:W3CDTF">2023-12-12T13:14:50Z</dcterms:created>
  <dcterms:modified xsi:type="dcterms:W3CDTF">2024-04-04T13:20:21Z</dcterms:modified>
</cp:coreProperties>
</file>